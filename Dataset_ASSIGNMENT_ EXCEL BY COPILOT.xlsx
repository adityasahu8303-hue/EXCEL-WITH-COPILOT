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DA880514-B304-46B0-BD9D-6FC59A353BF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tail_Dataset" sheetId="1" r:id="rId1"/>
    <sheet name="ques 1" sheetId="2" r:id="rId2"/>
    <sheet name="ques7" sheetId="5" r:id="rId3"/>
    <sheet name="ques 6" sheetId="4" r:id="rId4"/>
    <sheet name="dashboard" sheetId="6" r:id="rId5"/>
    <sheet name="SUMARY REPORT" sheetId="10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Q25" i="1"/>
  <c r="Q20" i="1"/>
  <c r="O2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2" i="1"/>
  <c r="M1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2" i="1"/>
  <c r="M7" i="1"/>
  <c r="M5" i="1"/>
</calcChain>
</file>

<file path=xl/sharedStrings.xml><?xml version="1.0" encoding="utf-8"?>
<sst xmlns="http://schemas.openxmlformats.org/spreadsheetml/2006/main" count="2166" uniqueCount="416">
  <si>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</si>
  <si>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</si>
  <si>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</si>
  <si>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</si>
  <si>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</si>
  <si>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</si>
  <si>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</si>
  <si>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</si>
  <si>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</si>
  <si>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</si>
  <si>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</si>
  <si>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</si>
  <si>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</si>
  <si>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</si>
  <si>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</si>
  <si>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</si>
  <si>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</si>
  <si>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</si>
  <si>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</si>
  <si>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</si>
  <si>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</si>
  <si>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</si>
  <si>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</si>
  <si>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</si>
  <si>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</si>
  <si>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</si>
  <si>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</si>
  <si>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</si>
  <si>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</si>
  <si>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</si>
  <si>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</si>
  <si>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</si>
  <si>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</si>
  <si>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</si>
  <si>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</si>
  <si>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</si>
  <si>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</si>
  <si>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</si>
  <si>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</si>
  <si>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</si>
  <si>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</si>
  <si>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</si>
  <si>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</si>
  <si>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</si>
  <si>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</si>
  <si>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</si>
  <si>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</si>
  <si>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</si>
  <si>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</si>
  <si>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</si>
  <si>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</si>
  <si>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</si>
  <si>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</si>
  <si>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</si>
  <si>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</si>
  <si>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</si>
  <si>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</si>
  <si>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</si>
  <si>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</si>
  <si>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</si>
  <si>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</si>
  <si>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</si>
  <si>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</si>
  <si>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</si>
  <si>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</si>
  <si>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</si>
  <si>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</si>
  <si>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</si>
  <si>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</si>
  <si>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</si>
  <si>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</si>
  <si>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</si>
  <si>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</si>
  <si>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</si>
  <si>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</si>
  <si>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</si>
  <si>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</si>
  <si>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</si>
  <si>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</si>
  <si>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</si>
  <si>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</si>
  <si>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</si>
  <si>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</si>
  <si>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</si>
  <si>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</si>
  <si>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</si>
  <si>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</si>
  <si>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</si>
  <si>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</si>
  <si>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</si>
  <si>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</si>
  <si>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</si>
  <si>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</si>
  <si>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</si>
  <si>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</si>
  <si>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</si>
  <si>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</si>
  <si>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</si>
  <si>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</si>
  <si>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</si>
  <si>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</si>
  <si>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</si>
  <si>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</si>
  <si>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</si>
  <si>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</si>
  <si>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</si>
  <si>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</si>
  <si>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</si>
  <si>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</si>
  <si>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</si>
  <si>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</si>
  <si>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</si>
  <si>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</si>
  <si>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</si>
  <si>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</si>
  <si>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</si>
  <si>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</si>
  <si>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</si>
  <si>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</si>
  <si>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</si>
  <si>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</si>
  <si>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</si>
  <si>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</si>
  <si>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</si>
  <si>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</si>
  <si>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</si>
  <si>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</si>
  <si>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</si>
  <si>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</si>
  <si>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</si>
  <si>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</si>
  <si>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</si>
  <si>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</si>
  <si>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</si>
  <si>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</si>
  <si>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</si>
  <si>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</si>
  <si>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</si>
  <si>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</si>
  <si>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</si>
  <si>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</si>
  <si>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</si>
  <si>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</si>
  <si>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</si>
  <si>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</si>
  <si>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</si>
  <si>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</si>
  <si>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</si>
  <si>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</si>
  <si>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</si>
  <si>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</si>
  <si>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</si>
  <si>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</si>
  <si>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</si>
  <si>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</si>
  <si>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</si>
  <si>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</si>
  <si>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</si>
  <si>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</si>
  <si>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</si>
  <si>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</si>
  <si>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</si>
  <si>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</si>
  <si>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</si>
  <si>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</si>
  <si>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</si>
  <si>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</si>
  <si>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</si>
  <si>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</si>
  <si>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</si>
  <si>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</si>
  <si>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</si>
  <si>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</si>
  <si>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</si>
  <si>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</si>
  <si>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</si>
  <si>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</si>
  <si>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</si>
  <si>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</si>
  <si>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</si>
  <si>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</si>
  <si>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</si>
  <si>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</si>
  <si>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</si>
  <si>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</si>
  <si>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</si>
  <si>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</si>
  <si>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</si>
  <si>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</si>
  <si>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</si>
  <si>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</si>
  <si>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</si>
  <si>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</si>
  <si>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</si>
  <si>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</si>
  <si>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</si>
  <si>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</si>
  <si>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</si>
  <si>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</si>
  <si>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</si>
  <si>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</si>
  <si>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</si>
  <si>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</si>
  <si>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</si>
  <si>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</si>
  <si>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</si>
  <si>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</si>
  <si>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</si>
  <si>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</si>
  <si>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</si>
  <si>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</si>
  <si>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</si>
  <si>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</si>
  <si>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</si>
  <si>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</si>
  <si>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</si>
  <si>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</si>
  <si>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</si>
  <si>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</si>
  <si>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</si>
  <si>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</si>
  <si>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</si>
  <si>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</si>
  <si>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</si>
  <si>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</si>
  <si>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</si>
  <si>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</si>
  <si>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</si>
  <si>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</si>
  <si>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</si>
  <si>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</si>
  <si>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</si>
  <si>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</si>
  <si>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</si>
  <si>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</si>
  <si>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</si>
  <si>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</si>
  <si>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</si>
  <si>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</si>
  <si>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</si>
  <si>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</si>
  <si>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</si>
  <si>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</si>
  <si>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</si>
  <si>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</si>
  <si>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</si>
  <si>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</si>
  <si>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</si>
  <si>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</si>
  <si>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</si>
  <si>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</si>
  <si>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</si>
  <si>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</si>
  <si>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</si>
  <si>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</si>
  <si>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</si>
  <si>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</si>
  <si>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</si>
  <si>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</si>
  <si>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</si>
  <si>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</si>
  <si>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</si>
  <si>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</si>
  <si>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</si>
  <si>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</si>
  <si>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</si>
  <si>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</si>
  <si>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</si>
  <si>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</si>
  <si>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</si>
  <si>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</si>
  <si>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</si>
  <si>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</si>
  <si>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</si>
  <si>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</si>
  <si>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</si>
  <si>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</si>
  <si>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</si>
  <si>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</si>
  <si>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</si>
  <si>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</si>
  <si>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</si>
  <si>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</si>
  <si>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</si>
  <si>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</si>
  <si>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</si>
  <si>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</si>
  <si>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</si>
  <si>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</si>
  <si>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</si>
  <si>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</si>
  <si>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</si>
  <si>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</si>
  <si>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</si>
  <si>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</si>
  <si>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</si>
  <si>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</si>
  <si>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</si>
  <si>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</si>
  <si>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</si>
  <si>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</si>
  <si>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</si>
  <si>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</si>
  <si>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</si>
  <si>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</si>
  <si>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</si>
  <si>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</si>
  <si>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</si>
  <si>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</si>
  <si>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</si>
  <si>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</si>
  <si>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</si>
  <si>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</si>
  <si>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</si>
  <si>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</si>
  <si>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</si>
  <si>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</si>
  <si>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</si>
  <si>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</si>
  <si>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</si>
  <si>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</si>
  <si>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</si>
  <si>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</si>
  <si>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</si>
  <si>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</si>
  <si>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</si>
  <si>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</si>
  <si>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</si>
  <si>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</si>
  <si>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</si>
  <si>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</si>
  <si>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</si>
  <si>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</si>
  <si>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</si>
  <si>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</si>
  <si>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</si>
  <si>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</si>
  <si>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</si>
  <si>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</si>
  <si>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</si>
  <si>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</si>
  <si>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</si>
  <si>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</si>
  <si>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</si>
  <si>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</si>
  <si>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</si>
  <si>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</si>
  <si>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</si>
  <si>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</si>
  <si>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</si>
  <si>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</si>
  <si>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</si>
  <si>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</si>
  <si>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</si>
  <si>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</si>
  <si>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</si>
  <si>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</si>
  <si>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</si>
  <si>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</si>
  <si>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</si>
  <si>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</si>
  <si>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</si>
  <si>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</si>
  <si>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</si>
  <si>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</si>
  <si>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</si>
  <si>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</si>
  <si>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</si>
  <si>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</si>
  <si>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</si>
  <si>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</si>
  <si>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</si>
  <si>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</si>
  <si>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</si>
  <si>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</si>
  <si>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</si>
  <si>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</si>
  <si>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</si>
  <si>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</si>
  <si>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Q1. Use Copilot to identify and summarize missing values in the dataset</t>
  </si>
  <si>
    <t>Interpretation</t>
  </si>
  <si>
    <r>
      <t xml:space="preserve">The dataset contains </t>
    </r>
    <r>
      <rPr>
        <b/>
        <sz val="11"/>
        <color theme="1"/>
        <rFont val="Calibri"/>
        <family val="2"/>
        <scheme val="minor"/>
      </rPr>
      <t>350 records</t>
    </r>
    <r>
      <rPr>
        <sz val="11"/>
        <color theme="1"/>
        <rFont val="Calibri"/>
        <family val="2"/>
        <scheme val="minor"/>
      </rPr>
      <t>.</t>
    </r>
  </si>
  <si>
    <r>
      <t xml:space="preserve">Missing values are present in </t>
    </r>
    <r>
      <rPr>
        <b/>
        <sz val="11"/>
        <color theme="1"/>
        <rFont val="Calibri"/>
        <family val="2"/>
        <scheme val="minor"/>
      </rPr>
      <t>4 columns</t>
    </r>
    <r>
      <rPr>
        <sz val="11"/>
        <color theme="1"/>
        <rFont val="Calibri"/>
        <family val="2"/>
        <scheme val="minor"/>
      </rPr>
      <t>:</t>
    </r>
  </si>
  <si>
    <r>
      <t>The remaining columns (</t>
    </r>
    <r>
      <rPr>
        <b/>
        <sz val="11"/>
        <color theme="1"/>
        <rFont val="Calibri"/>
        <family val="2"/>
        <scheme val="minor"/>
      </rPr>
      <t>Order ID, Country, Sales Channel, Order Priority, Order Date, and Unit Cost</t>
    </r>
    <r>
      <rPr>
        <sz val="11"/>
        <color theme="1"/>
        <rFont val="Calibri"/>
        <family val="2"/>
        <scheme val="minor"/>
      </rPr>
      <t xml:space="preserve">) have </t>
    </r>
    <r>
      <rPr>
        <b/>
        <sz val="11"/>
        <color theme="1"/>
        <rFont val="Calibri"/>
        <family val="2"/>
        <scheme val="minor"/>
      </rPr>
      <t>no missing values</t>
    </r>
    <r>
      <rPr>
        <sz val="11"/>
        <color theme="1"/>
        <rFont val="Calibri"/>
        <family val="2"/>
        <scheme val="minor"/>
      </rPr>
      <t>.</t>
    </r>
  </si>
  <si>
    <t>These missing values should be cleaned (e.g., filled with appropriate values or removed) before performing further analysis to ensure accurate results.</t>
  </si>
  <si>
    <r>
      <t>2. Category:</t>
    </r>
    <r>
      <rPr>
        <sz val="11"/>
        <color theme="1"/>
        <rFont val="Calibri"/>
        <family val="2"/>
        <scheme val="minor"/>
      </rPr>
      <t xml:space="preserve"> 10 missing values</t>
    </r>
  </si>
  <si>
    <r>
      <t>3. Units Sold:</t>
    </r>
    <r>
      <rPr>
        <sz val="11"/>
        <color theme="1"/>
        <rFont val="Calibri"/>
        <family val="2"/>
        <scheme val="minor"/>
      </rPr>
      <t xml:space="preserve"> 10 missing values</t>
    </r>
  </si>
  <si>
    <r>
      <t>4. Unit Price:</t>
    </r>
    <r>
      <rPr>
        <sz val="11"/>
        <color theme="1"/>
        <rFont val="Calibri"/>
        <family val="2"/>
        <scheme val="minor"/>
      </rPr>
      <t xml:space="preserve"> 10 missing values</t>
    </r>
  </si>
  <si>
    <r>
      <t>1. Region:</t>
    </r>
    <r>
      <rPr>
        <sz val="11"/>
        <color theme="1"/>
        <rFont val="Calibri"/>
        <family val="2"/>
        <scheme val="minor"/>
      </rPr>
      <t xml:space="preserve"> 10 missing values</t>
    </r>
  </si>
  <si>
    <t>Q3. Fill missing numeric values in the  Unit sold andunit price columns.</t>
  </si>
  <si>
    <t>Total Revenue</t>
  </si>
  <si>
    <t>Q5. Use Copilot to find the total price of Order ID = ‘ORD0123’.</t>
  </si>
  <si>
    <t>profit</t>
  </si>
  <si>
    <t>Row Labels</t>
  </si>
  <si>
    <t>(blank)</t>
  </si>
  <si>
    <t>Grand Total</t>
  </si>
  <si>
    <t>Average of profit</t>
  </si>
  <si>
    <t>Sum of Total Revenue</t>
  </si>
  <si>
    <t>Column Labels</t>
  </si>
  <si>
    <t>total revenue</t>
  </si>
  <si>
    <t>total orders</t>
  </si>
  <si>
    <t>TOTAL UNIT SOLD</t>
  </si>
  <si>
    <t>AVG unit price</t>
  </si>
  <si>
    <t>TOTAL REVENUE</t>
  </si>
  <si>
    <t xml:space="preserve">                      TOTAL ORDERS</t>
  </si>
  <si>
    <t>TOTAL UNITS SOLD</t>
  </si>
  <si>
    <t>AVERAGE UNIT PRICE</t>
  </si>
  <si>
    <t>Sales Summary Report</t>
  </si>
  <si>
    <r>
      <t xml:space="preserve">1.The dataset contains </t>
    </r>
    <r>
      <rPr>
        <b/>
        <sz val="11"/>
        <color theme="1"/>
        <rFont val="Calibri"/>
        <scheme val="minor"/>
      </rPr>
      <t>350 orders</t>
    </r>
    <r>
      <rPr>
        <sz val="11"/>
        <color theme="1"/>
        <rFont val="Calibri"/>
        <scheme val="minor"/>
      </rPr>
      <t>.</t>
    </r>
  </si>
  <si>
    <r>
      <t xml:space="preserve">2. The report summarizes </t>
    </r>
    <r>
      <rPr>
        <b/>
        <sz val="11"/>
        <color theme="1"/>
        <rFont val="Calibri"/>
        <scheme val="minor"/>
      </rPr>
      <t>Total Revenue</t>
    </r>
    <r>
      <rPr>
        <sz val="11"/>
        <color theme="1"/>
        <rFont val="Calibri"/>
        <scheme val="minor"/>
      </rPr>
      <t xml:space="preserve">, </t>
    </r>
    <r>
      <rPr>
        <b/>
        <sz val="11"/>
        <color theme="1"/>
        <rFont val="Calibri"/>
        <scheme val="minor"/>
      </rPr>
      <t>Total Units Sold</t>
    </r>
    <r>
      <rPr>
        <sz val="11"/>
        <color theme="1"/>
        <rFont val="Calibri"/>
        <scheme val="minor"/>
      </rPr>
      <t xml:space="preserve">, and </t>
    </r>
    <r>
      <rPr>
        <b/>
        <sz val="11"/>
        <color theme="1"/>
        <rFont val="Calibri"/>
        <scheme val="minor"/>
      </rPr>
      <t>Average Unit Price</t>
    </r>
    <r>
      <rPr>
        <sz val="11"/>
        <color theme="1"/>
        <rFont val="Calibri"/>
        <scheme val="minor"/>
      </rPr>
      <t>.</t>
    </r>
  </si>
  <si>
    <r>
      <t xml:space="preserve">3. Sales are analyzed across different </t>
    </r>
    <r>
      <rPr>
        <b/>
        <sz val="11"/>
        <color theme="1"/>
        <rFont val="Calibri"/>
        <scheme val="minor"/>
      </rPr>
      <t>Regions</t>
    </r>
    <r>
      <rPr>
        <sz val="11"/>
        <color theme="1"/>
        <rFont val="Calibri"/>
        <scheme val="minor"/>
      </rPr>
      <t xml:space="preserve"> and </t>
    </r>
    <r>
      <rPr>
        <b/>
        <sz val="11"/>
        <color theme="1"/>
        <rFont val="Calibri"/>
        <scheme val="minor"/>
      </rPr>
      <t>Product Categories</t>
    </r>
    <r>
      <rPr>
        <sz val="11"/>
        <color theme="1"/>
        <rFont val="Calibri"/>
        <scheme val="minor"/>
      </rPr>
      <t>.</t>
    </r>
  </si>
  <si>
    <t>4. The dashboard and Pivot Table help identify the best-performing regions and categories.</t>
  </si>
  <si>
    <t>5. The monthly sales trend highlights changes in sales over time.</t>
  </si>
  <si>
    <t>6. Missing values were identified and cleaned before analysis, improving data quality.</t>
  </si>
  <si>
    <r>
      <t xml:space="preserve">7. A </t>
    </r>
    <r>
      <rPr>
        <b/>
        <sz val="11"/>
        <color theme="1"/>
        <rFont val="Calibri"/>
        <scheme val="minor"/>
      </rPr>
      <t>Total Revenue</t>
    </r>
    <r>
      <rPr>
        <sz val="11"/>
        <color theme="1"/>
        <rFont val="Calibri"/>
        <scheme val="minor"/>
      </rPr>
      <t xml:space="preserve"> column was created to calculate sales for each order.</t>
    </r>
  </si>
  <si>
    <t>8. Interactive charts and KPI cards provide a clear overview of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</si>
</sst>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3.5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0" fillId="0" borderId="0" xfId="0" applyFont="1"/>
    <xf numFmtId="0" fontId="2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[Dataset_ASSIGNMENT_ EXCEL BY COPILOT.xlsx]ques 6!PivotTable1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profit by rigion wise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 6'!$A$4:$A$9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'ques 6'!$B$4:$B$9</c:f>
              <c:numCache>
                <c:formatCode>General</c:formatCode>
                <c:ptCount val="5"/>
                <c:pt idx="0">
                  <c:v>12493.089326483514</c:v>
                </c:pt>
                <c:pt idx="1">
                  <c:v>16728.37156333333</c:v>
                </c:pt>
                <c:pt idx="2">
                  <c:v>19174.388756666667</c:v>
                </c:pt>
                <c:pt idx="3">
                  <c:v>198.83079295894649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5-4FFD-B3FB-9BA12EBA6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922799"/>
        <c:axId val="906303055"/>
      </c:barChart>
      <c:catAx>
        <c:axId val="10129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03055"/>
        <c:crosses val="autoZero"/>
        <c:auto val="1"/>
        <c:lblAlgn val="ctr"/>
        <c:lblOffset val="100"/>
        <c:noMultiLvlLbl val="0"/>
      </c:catAx>
      <c:valAx>
        <c:axId val="9063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2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[Dataset_ASSIGNMENT_ EXCEL BY COPILOT.xlsx]ques 6!PivotTable1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profit by rigion wise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5704405654126544"/>
          <c:y val="8.331470006339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49823868676555"/>
          <c:y val="0.2986806168977561"/>
          <c:w val="0.74983152561441491"/>
          <c:h val="0.5738685546412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 6'!$A$4:$A$9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'ques 6'!$B$4:$B$9</c:f>
              <c:numCache>
                <c:formatCode>General</c:formatCode>
                <c:ptCount val="5"/>
                <c:pt idx="0">
                  <c:v>12493.089326483514</c:v>
                </c:pt>
                <c:pt idx="1">
                  <c:v>16728.37156333333</c:v>
                </c:pt>
                <c:pt idx="2">
                  <c:v>19174.388756666667</c:v>
                </c:pt>
                <c:pt idx="3">
                  <c:v>198.83079295894649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70C-B9FE-7A032C826C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12922799"/>
        <c:axId val="906303055"/>
      </c:barChart>
      <c:catAx>
        <c:axId val="10129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03055"/>
        <c:crosses val="autoZero"/>
        <c:auto val="1"/>
        <c:lblAlgn val="ctr"/>
        <c:lblOffset val="100"/>
        <c:noMultiLvlLbl val="0"/>
      </c:catAx>
      <c:valAx>
        <c:axId val="906303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1292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Beverages</c:v>
              </c:pt>
              <c:pt idx="1">
                <c:v>Clothing</c:v>
              </c:pt>
              <c:pt idx="2">
                <c:v>Electronics</c:v>
              </c:pt>
              <c:pt idx="3">
                <c:v>Food</c:v>
              </c:pt>
              <c:pt idx="4">
                <c:v>Furniture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47025510.503315561</c:v>
              </c:pt>
              <c:pt idx="1">
                <c:v>3847452.4795100004</c:v>
              </c:pt>
              <c:pt idx="2">
                <c:v>4523131.5145799983</c:v>
              </c:pt>
              <c:pt idx="3">
                <c:v>4065063.6156799998</c:v>
              </c:pt>
              <c:pt idx="4">
                <c:v>4459617.9818099998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68D-4DBA-BD69-8B376BDE92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0776816"/>
        <c:axId val="1009562159"/>
      </c:barChart>
      <c:catAx>
        <c:axId val="21107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62159"/>
        <c:crosses val="autoZero"/>
        <c:auto val="1"/>
        <c:lblAlgn val="ctr"/>
        <c:lblOffset val="100"/>
        <c:noMultiLvlLbl val="0"/>
      </c:catAx>
      <c:valAx>
        <c:axId val="10095621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1077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6295528.3741299994</c:v>
              </c:pt>
              <c:pt idx="1">
                <c:v>5246018.5732100001</c:v>
              </c:pt>
              <c:pt idx="2">
                <c:v>4293101.8398599988</c:v>
              </c:pt>
              <c:pt idx="3">
                <c:v>48086127.307695583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320-4E86-906C-65A24E1B7C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8629167"/>
        <c:axId val="906285295"/>
      </c:barChart>
      <c:catAx>
        <c:axId val="33862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85295"/>
        <c:crosses val="autoZero"/>
        <c:auto val="1"/>
        <c:lblAlgn val="ctr"/>
        <c:lblOffset val="100"/>
        <c:noMultiLvlLbl val="0"/>
      </c:catAx>
      <c:valAx>
        <c:axId val="9062852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862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IN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&lt;11/09/1900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Sept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72172.429354838707</c:v>
              </c:pt>
              <c:pt idx="2">
                <c:v>55483.21752464286</c:v>
              </c:pt>
              <c:pt idx="3">
                <c:v>53662.590161290318</c:v>
              </c:pt>
              <c:pt idx="4">
                <c:v>58543.722499999996</c:v>
              </c:pt>
              <c:pt idx="5">
                <c:v>63600.220302580645</c:v>
              </c:pt>
              <c:pt idx="6">
                <c:v>92106.192000000039</c:v>
              </c:pt>
              <c:pt idx="7">
                <c:v>73516.056530000002</c:v>
              </c:pt>
              <c:pt idx="8">
                <c:v>54858.576487419363</c:v>
              </c:pt>
              <c:pt idx="9">
                <c:v>64090.038247003678</c:v>
              </c:pt>
              <c:pt idx="10">
                <c:v>56510.848221612898</c:v>
              </c:pt>
              <c:pt idx="11">
                <c:v>55588.418890000008</c:v>
              </c:pt>
              <c:pt idx="12">
                <c:v>66188.604999999996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75C-4434-95EE-28E0F79628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7454703"/>
        <c:axId val="1012597487"/>
      </c:lineChart>
      <c:catAx>
        <c:axId val="35745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97487"/>
        <c:crosses val="autoZero"/>
        <c:auto val="1"/>
        <c:lblAlgn val="ctr"/>
        <c:lblOffset val="100"/>
        <c:noMultiLvlLbl val="0"/>
      </c:catAx>
      <c:valAx>
        <c:axId val="1012597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745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</xdr:row>
      <xdr:rowOff>3810</xdr:rowOff>
    </xdr:from>
    <xdr:to>
      <xdr:col>10</xdr:col>
      <xdr:colOff>129540</xdr:colOff>
      <xdr:row>16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67D9F-936B-6C2E-C254-7D697D2AA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15711</xdr:rowOff>
    </xdr:from>
    <xdr:to>
      <xdr:col>8</xdr:col>
      <xdr:colOff>117834</xdr:colOff>
      <xdr:row>16</xdr:row>
      <xdr:rowOff>172825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106BE-2BEF-47E2-84D1-71471B938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133547</xdr:colOff>
      <xdr:row>2</xdr:row>
      <xdr:rowOff>15710</xdr:rowOff>
    </xdr:from>
    <xdr:to>
      <xdr:col>16</xdr:col>
      <xdr:colOff>2436</xdr:colOff>
      <xdr:row>17</xdr:row>
      <xdr:rowOff>5497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30481-F01F-4F91-BAE6-F00D6A4DB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7856</xdr:rowOff>
    </xdr:from>
    <xdr:to>
      <xdr:col>8</xdr:col>
      <xdr:colOff>128971</xdr:colOff>
      <xdr:row>32</xdr:row>
      <xdr:rowOff>1971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899737-A0BC-4780-9BB8-871F807AF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141401</xdr:colOff>
      <xdr:row>17</xdr:row>
      <xdr:rowOff>7857</xdr:rowOff>
    </xdr:from>
    <xdr:to>
      <xdr:col>16</xdr:col>
      <xdr:colOff>7856</xdr:colOff>
      <xdr:row>32</xdr:row>
      <xdr:rowOff>69947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696BF6-58E5-4030-8FD2-E158AEE5C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sahu" refreshedDate="46221.622778009259" createdVersion="8" refreshedVersion="8" minRefreshableVersion="3" recordCount="1000" xr:uid="{690ADCEB-4419-4955-B0FD-3A353087CDEC}">
  <cacheSource type="worksheet">
    <worksheetSource ref="A1:L1048576" sheet="Retail_Dataset"/>
  </cacheSource>
  <cacheFields count="15">
    <cacheField name="Order ID" numFmtId="0">
      <sharedItems containsBlank="1" containsMixedTypes="1" containsNumber="1" minValue="255.90299999999999" maxValue="255.90299999999999"/>
    </cacheField>
    <cacheField name="Region" numFmtId="0">
      <sharedItems containsBlank="1" count="5">
        <s v="East"/>
        <s v="West"/>
        <s v="North"/>
        <s v="South"/>
        <m/>
      </sharedItems>
    </cacheField>
    <cacheField name="Country" numFmtId="0">
      <sharedItems containsBlank="1" containsMixedTypes="1" containsNumber="1" minValue="255.90299999999999" maxValue="255.90299999999999" count="7">
        <s v="Germany"/>
        <s v="India"/>
        <s v="USA"/>
        <s v="UK"/>
        <s v="Australia"/>
        <n v="255.90299999999999"/>
        <m/>
      </sharedItems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 containsBlank="1" containsMixedTypes="1" containsNumber="1" minValue="255.90299999999999" maxValue="255.90299999999999"/>
    </cacheField>
    <cacheField name="Order Priority" numFmtId="0">
      <sharedItems containsBlank="1" containsMixedTypes="1" containsNumber="1" minValue="255.90299999999999" maxValue="255.90299999999999"/>
    </cacheField>
    <cacheField name="Order Date" numFmtId="0">
      <sharedItems containsNonDate="0" containsDate="1" containsString="0" containsBlank="1" minDate="1900-09-11T21:40:19" maxDate="2023-12-17T00:00:00" count="35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1900-09-11T21:40:19"/>
        <m/>
      </sharedItems>
      <fieldGroup par="14"/>
    </cacheField>
    <cacheField name="Units Sold" numFmtId="0">
      <sharedItems containsString="0" containsBlank="1" containsNumb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tring="0" containsBlank="1" containsNumber="1" minValue="2.13" maxValue="396.98"/>
    </cacheField>
    <cacheField name="Total Revenue" numFmtId="0">
      <sharedItems containsString="0" containsBlank="1" containsNumber="1" minValue="627.52" maxValue="239220.11"/>
    </cacheField>
    <cacheField name="profit" numFmtId="0">
      <sharedItems containsString="0" containsBlank="1" containsNumber="1" minValue="-150825.24" maxValue="224464.59"/>
    </cacheField>
    <cacheField name="Months (Order Date)" numFmtId="0" databaseField="0">
      <fieldGroup base="6">
        <rangePr groupBy="months" startDate="1900-09-11T21:40:19" endDate="2023-12-17T00:00:00"/>
        <groupItems count="14">
          <s v="&lt;11/09/190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7/12/2023"/>
        </groupItems>
      </fieldGroup>
    </cacheField>
    <cacheField name="Quarters (Order Date)" numFmtId="0" databaseField="0">
      <fieldGroup base="6">
        <rangePr groupBy="quarters" startDate="1900-09-11T21:40:19" endDate="2023-12-17T00:00:00"/>
        <groupItems count="6">
          <s v="&lt;11/09/1900"/>
          <s v="Qtr1"/>
          <s v="Qtr2"/>
          <s v="Qtr3"/>
          <s v="Qtr4"/>
          <s v="&gt;17/12/2023"/>
        </groupItems>
      </fieldGroup>
    </cacheField>
    <cacheField name="Years (Order Date)" numFmtId="0" databaseField="0">
      <fieldGroup base="6">
        <rangePr groupBy="years" startDate="1900-09-11T21:40:19" endDate="2023-12-17T00:00:00"/>
        <groupItems count="126">
          <s v="&lt;11/09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17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1"/>
    <x v="0"/>
    <x v="0"/>
    <x v="0"/>
    <s v="Online"/>
    <s v="High"/>
    <x v="0"/>
    <n v="235"/>
    <n v="152.91999999999999"/>
    <n v="153.6"/>
    <n v="35936.199999999997"/>
    <n v="-159.8000000000016"/>
  </r>
  <r>
    <s v="ORD0002"/>
    <x v="1"/>
    <x v="1"/>
    <x v="1"/>
    <s v="Online"/>
    <s v="Low"/>
    <x v="1"/>
    <n v="341"/>
    <n v="467.92"/>
    <n v="139.84"/>
    <n v="159560.72"/>
    <n v="111875.28000000001"/>
  </r>
  <r>
    <s v="ORD0003"/>
    <x v="2"/>
    <x v="1"/>
    <x v="2"/>
    <s v="Offline"/>
    <s v="High"/>
    <x v="2"/>
    <n v="179"/>
    <n v="473.94"/>
    <n v="97.14"/>
    <n v="84835.26"/>
    <n v="67447.199999999997"/>
  </r>
  <r>
    <s v="ORD0004"/>
    <x v="0"/>
    <x v="2"/>
    <x v="3"/>
    <s v="Offline"/>
    <s v="Medium"/>
    <x v="3"/>
    <n v="18"/>
    <n v="314.52999999999997"/>
    <n v="204.87"/>
    <n v="5661.5399999999991"/>
    <n v="1973.8799999999994"/>
  </r>
  <r>
    <s v="ORD0005"/>
    <x v="0"/>
    <x v="1"/>
    <x v="3"/>
    <s v="Offline"/>
    <s v="Medium"/>
    <x v="4"/>
    <n v="472"/>
    <n v="392.79"/>
    <n v="330.46"/>
    <n v="185396.88"/>
    <n v="29419.76000000002"/>
  </r>
  <r>
    <s v="ORD0006"/>
    <x v="1"/>
    <x v="3"/>
    <x v="2"/>
    <s v="Online"/>
    <s v="High"/>
    <x v="5"/>
    <n v="49"/>
    <n v="308.07"/>
    <n v="113.32"/>
    <n v="15095.43"/>
    <n v="9542.75"/>
  </r>
  <r>
    <s v="ORD0007"/>
    <x v="2"/>
    <x v="0"/>
    <x v="2"/>
    <s v="Online"/>
    <s v="Low"/>
    <x v="6"/>
    <n v="34"/>
    <n v="244.78"/>
    <n v="377.07"/>
    <n v="8322.52"/>
    <n v="-4497.8599999999997"/>
  </r>
  <r>
    <s v="ORD0008"/>
    <x v="2"/>
    <x v="1"/>
    <x v="0"/>
    <s v="Online"/>
    <s v="High"/>
    <x v="7"/>
    <n v="270"/>
    <n v="332.11"/>
    <n v="349.59"/>
    <n v="89669.7"/>
    <n v="-4719.5999999999894"/>
  </r>
  <r>
    <s v="ORD0009"/>
    <x v="0"/>
    <x v="1"/>
    <x v="0"/>
    <s v="Online"/>
    <s v="Low"/>
    <x v="8"/>
    <n v="404"/>
    <n v="278.74"/>
    <n v="66.38"/>
    <n v="112610.96"/>
    <n v="85793.44"/>
  </r>
  <r>
    <s v="ORD0010"/>
    <x v="1"/>
    <x v="2"/>
    <x v="3"/>
    <s v="Online"/>
    <s v="Medium"/>
    <x v="9"/>
    <n v="452"/>
    <n v="300.75"/>
    <n v="314.94"/>
    <n v="135939"/>
    <n v="-6413.8799999999992"/>
  </r>
  <r>
    <s v="ORD0011"/>
    <x v="0"/>
    <x v="2"/>
    <x v="1"/>
    <s v="Online"/>
    <s v="Low"/>
    <x v="10"/>
    <n v="235"/>
    <n v="393"/>
    <n v="230.69"/>
    <n v="92355"/>
    <n v="38142.85"/>
  </r>
  <r>
    <s v="ORD0012"/>
    <x v="0"/>
    <x v="3"/>
    <x v="3"/>
    <s v="Offline"/>
    <s v="Medium"/>
    <x v="11"/>
    <n v="481"/>
    <n v="243.05"/>
    <n v="227.5"/>
    <n v="116907.05"/>
    <n v="7479.5500000000056"/>
  </r>
  <r>
    <s v="ORD0013"/>
    <x v="0"/>
    <x v="0"/>
    <x v="1"/>
    <s v="Offline"/>
    <s v="Low"/>
    <x v="12"/>
    <n v="133"/>
    <n v="25.17"/>
    <n v="157.63999999999999"/>
    <n v="3347.61"/>
    <n v="-17618.509999999995"/>
  </r>
  <r>
    <s v="ORD0014"/>
    <x v="0"/>
    <x v="2"/>
    <x v="1"/>
    <s v="Offline"/>
    <s v="Low"/>
    <x v="13"/>
    <n v="472"/>
    <n v="86.18"/>
    <n v="201.46"/>
    <n v="40676.960000000006"/>
    <n v="-54412.160000000003"/>
  </r>
  <r>
    <s v="ORD0015"/>
    <x v="1"/>
    <x v="1"/>
    <x v="0"/>
    <s v="Offline"/>
    <s v="Low"/>
    <x v="14"/>
    <n v="47"/>
    <n v="222.11"/>
    <n v="160.08000000000001"/>
    <n v="10439.17"/>
    <n v="2915.41"/>
  </r>
  <r>
    <s v="ORD0016"/>
    <x v="2"/>
    <x v="0"/>
    <x v="4"/>
    <s v="Online"/>
    <s v="High"/>
    <x v="15"/>
    <n v="337"/>
    <n v="363.79"/>
    <n v="216.81"/>
    <n v="122597.23000000001"/>
    <n v="49532.260000000009"/>
  </r>
  <r>
    <s v="ORD0017"/>
    <x v="1"/>
    <x v="0"/>
    <x v="4"/>
    <s v="Online"/>
    <s v="High"/>
    <x v="16"/>
    <n v="260"/>
    <n v="298.67"/>
    <n v="251.92"/>
    <n v="77654.2"/>
    <n v="12155.000000000007"/>
  </r>
  <r>
    <s v="ORD0018"/>
    <x v="1"/>
    <x v="1"/>
    <x v="2"/>
    <s v="Offline"/>
    <s v="Medium"/>
    <x v="17"/>
    <n v="398"/>
    <n v="326.89999999999998"/>
    <n v="270.37"/>
    <n v="130106.2"/>
    <n v="22498.939999999988"/>
  </r>
  <r>
    <s v="ORD0019"/>
    <x v="1"/>
    <x v="2"/>
    <x v="0"/>
    <s v="Online"/>
    <s v="Medium"/>
    <x v="18"/>
    <n v="185"/>
    <n v="242.24"/>
    <n v="213.93"/>
    <n v="44814.400000000001"/>
    <n v="5237.3500000000004"/>
  </r>
  <r>
    <s v="ORD0020"/>
    <x v="0"/>
    <x v="1"/>
    <x v="1"/>
    <s v="Offline"/>
    <s v="High"/>
    <x v="19"/>
    <n v="99"/>
    <n v="309.79000000000002"/>
    <n v="289.13"/>
    <n v="30669.210000000003"/>
    <n v="2045.3400000000024"/>
  </r>
  <r>
    <s v="ORD0021"/>
    <x v="3"/>
    <x v="0"/>
    <x v="4"/>
    <s v="Offline"/>
    <s v="Medium"/>
    <x v="20"/>
    <n v="411"/>
    <n v="167.86"/>
    <n v="58.23"/>
    <n v="68990.460000000006"/>
    <n v="45057.930000000008"/>
  </r>
  <r>
    <s v="ORD0022"/>
    <x v="2"/>
    <x v="4"/>
    <x v="1"/>
    <s v="Offline"/>
    <s v="High"/>
    <x v="21"/>
    <n v="463"/>
    <n v="237.74"/>
    <n v="86.37"/>
    <n v="110073.62000000001"/>
    <n v="70084.31"/>
  </r>
  <r>
    <s v="ORD0023"/>
    <x v="3"/>
    <x v="4"/>
    <x v="4"/>
    <s v="Online"/>
    <s v="Low"/>
    <x v="22"/>
    <n v="46"/>
    <n v="373.42"/>
    <n v="327.86"/>
    <n v="17177.32"/>
    <n v="2095.7600000000002"/>
  </r>
  <r>
    <s v="ORD0024"/>
    <x v="1"/>
    <x v="3"/>
    <x v="4"/>
    <s v="Offline"/>
    <s v="Medium"/>
    <x v="23"/>
    <n v="325"/>
    <n v="436.56"/>
    <n v="130.37"/>
    <n v="141882"/>
    <n v="99511.75"/>
  </r>
  <r>
    <s v="ORD0025"/>
    <x v="1"/>
    <x v="1"/>
    <x v="0"/>
    <s v="Offline"/>
    <s v="Medium"/>
    <x v="24"/>
    <n v="185"/>
    <n v="219.66"/>
    <n v="11.11"/>
    <n v="40637.1"/>
    <n v="38581.75"/>
  </r>
  <r>
    <s v="ORD0026"/>
    <x v="3"/>
    <x v="1"/>
    <x v="0"/>
    <s v="Offline"/>
    <s v="High"/>
    <x v="25"/>
    <n v="470"/>
    <n v="26.61"/>
    <n v="63.21"/>
    <n v="12506.699999999999"/>
    <n v="-17202"/>
  </r>
  <r>
    <s v="ORD0027"/>
    <x v="3"/>
    <x v="3"/>
    <x v="3"/>
    <s v="Online"/>
    <s v="Medium"/>
    <x v="26"/>
    <n v="293"/>
    <n v="85.03"/>
    <n v="91"/>
    <n v="24913.79"/>
    <n v="-1749.2099999999996"/>
  </r>
  <r>
    <s v="ORD0028"/>
    <x v="3"/>
    <x v="3"/>
    <x v="1"/>
    <s v="Online"/>
    <s v="Medium"/>
    <x v="27"/>
    <n v="462"/>
    <n v="249.64500000000001"/>
    <n v="383.01"/>
    <n v="115335.99"/>
    <n v="-61614.62999999999"/>
  </r>
  <r>
    <s v="ORD0029"/>
    <x v="1"/>
    <x v="3"/>
    <x v="0"/>
    <s v="Offline"/>
    <s v="Low"/>
    <x v="28"/>
    <n v="470"/>
    <n v="328.37"/>
    <n v="230.07"/>
    <n v="154333.9"/>
    <n v="46201.000000000007"/>
  </r>
  <r>
    <s v="ORD0030"/>
    <x v="1"/>
    <x v="0"/>
    <x v="0"/>
    <s v="Online"/>
    <s v="Medium"/>
    <x v="29"/>
    <n v="90"/>
    <n v="169.5"/>
    <n v="373.23"/>
    <n v="15255"/>
    <n v="-18335.7"/>
  </r>
  <r>
    <s v="ORD0031"/>
    <x v="1"/>
    <x v="1"/>
    <x v="0"/>
    <s v="Online"/>
    <s v="Low"/>
    <x v="30"/>
    <n v="123"/>
    <n v="273.52999999999997"/>
    <n v="230.92"/>
    <n v="33644.189999999995"/>
    <n v="5241.0299999999979"/>
  </r>
  <r>
    <s v="ORD0032"/>
    <x v="2"/>
    <x v="0"/>
    <x v="0"/>
    <s v="Online"/>
    <s v="High"/>
    <x v="31"/>
    <n v="49"/>
    <n v="249.17"/>
    <n v="192.78"/>
    <n v="12209.33"/>
    <n v="2763.1099999999992"/>
  </r>
  <r>
    <s v="ORD0033"/>
    <x v="1"/>
    <x v="3"/>
    <x v="0"/>
    <s v="Online"/>
    <s v="Medium"/>
    <x v="32"/>
    <n v="310"/>
    <n v="45.36"/>
    <n v="126.86"/>
    <n v="14061.6"/>
    <n v="-25265"/>
  </r>
  <r>
    <s v="ORD0034"/>
    <x v="3"/>
    <x v="1"/>
    <x v="2"/>
    <s v="Online"/>
    <s v="Low"/>
    <x v="33"/>
    <n v="233"/>
    <n v="204.61"/>
    <n v="243.34"/>
    <n v="47674.130000000005"/>
    <n v="-9024.0899999999983"/>
  </r>
  <r>
    <s v="ORD0035"/>
    <x v="3"/>
    <x v="0"/>
    <x v="1"/>
    <s v="Online"/>
    <s v="High"/>
    <x v="34"/>
    <n v="327"/>
    <n v="114.18"/>
    <n v="57.4"/>
    <n v="37336.86"/>
    <n v="18567.060000000001"/>
  </r>
  <r>
    <s v="ORD0036"/>
    <x v="2"/>
    <x v="0"/>
    <x v="0"/>
    <s v="Online"/>
    <s v="Medium"/>
    <x v="35"/>
    <n v="358"/>
    <n v="212.11"/>
    <n v="359.51"/>
    <n v="75935.38"/>
    <n v="-52769.19999999999"/>
  </r>
  <r>
    <s v="ORD0037"/>
    <x v="1"/>
    <x v="3"/>
    <x v="1"/>
    <s v="Online"/>
    <s v="High"/>
    <x v="36"/>
    <n v="124"/>
    <n v="249.64500000000001"/>
    <n v="332.07"/>
    <n v="30955.98"/>
    <n v="-10220.699999999997"/>
  </r>
  <r>
    <s v="ORD0038"/>
    <x v="2"/>
    <x v="1"/>
    <x v="2"/>
    <s v="Online"/>
    <s v="Medium"/>
    <x v="37"/>
    <n v="195"/>
    <n v="421.02"/>
    <n v="128.38"/>
    <n v="82098.899999999994"/>
    <n v="57064.799999999996"/>
  </r>
  <r>
    <s v="ORD0039"/>
    <x v="2"/>
    <x v="3"/>
    <x v="2"/>
    <s v="Online"/>
    <s v="High"/>
    <x v="38"/>
    <n v="255.90299999999999"/>
    <n v="91.23"/>
    <n v="381.21"/>
    <n v="23346.03069"/>
    <n v="-74206.751939999987"/>
  </r>
  <r>
    <s v="ORD0040"/>
    <x v="0"/>
    <x v="1"/>
    <x v="1"/>
    <s v="Offline"/>
    <s v="High"/>
    <x v="39"/>
    <n v="65"/>
    <n v="480.59"/>
    <n v="330.43"/>
    <n v="31238.35"/>
    <n v="9760.3999999999978"/>
  </r>
  <r>
    <s v="ORD0041"/>
    <x v="0"/>
    <x v="4"/>
    <x v="4"/>
    <s v="Offline"/>
    <s v="Low"/>
    <x v="40"/>
    <n v="49"/>
    <n v="210.87"/>
    <n v="267.19"/>
    <n v="10332.630000000001"/>
    <n v="-2759.68"/>
  </r>
  <r>
    <s v="ORD0042"/>
    <x v="0"/>
    <x v="2"/>
    <x v="3"/>
    <s v="Online"/>
    <s v="High"/>
    <x v="41"/>
    <n v="363"/>
    <n v="423.89"/>
    <n v="50.46"/>
    <n v="153872.07"/>
    <n v="135555.09"/>
  </r>
  <r>
    <s v="ORD0043"/>
    <x v="3"/>
    <x v="2"/>
    <x v="4"/>
    <s v="Offline"/>
    <s v="Medium"/>
    <x v="42"/>
    <n v="49"/>
    <n v="316.24"/>
    <n v="192.34"/>
    <n v="15495.76"/>
    <n v="6071.1"/>
  </r>
  <r>
    <s v="ORD0044"/>
    <x v="1"/>
    <x v="2"/>
    <x v="4"/>
    <s v="Offline"/>
    <s v="Medium"/>
    <x v="43"/>
    <n v="356"/>
    <n v="369"/>
    <n v="203.43"/>
    <n v="131364"/>
    <n v="58942.92"/>
  </r>
  <r>
    <s v="ORD0045"/>
    <x v="1"/>
    <x v="3"/>
    <x v="4"/>
    <s v="Online"/>
    <s v="Low"/>
    <x v="44"/>
    <n v="470"/>
    <n v="249.64500000000001"/>
    <n v="94.56"/>
    <n v="117333.15000000001"/>
    <n v="72889.95"/>
  </r>
  <r>
    <s v="ORD0046"/>
    <x v="1"/>
    <x v="4"/>
    <x v="0"/>
    <s v="Online"/>
    <s v="Medium"/>
    <x v="45"/>
    <n v="246"/>
    <n v="254.9"/>
    <n v="33.83"/>
    <n v="62705.4"/>
    <n v="54383.22"/>
  </r>
  <r>
    <s v="ORD0047"/>
    <x v="1"/>
    <x v="1"/>
    <x v="2"/>
    <s v="Online"/>
    <s v="Medium"/>
    <x v="46"/>
    <n v="298"/>
    <n v="273.93"/>
    <n v="311.14"/>
    <n v="81631.14"/>
    <n v="-11088.579999999994"/>
  </r>
  <r>
    <s v="ORD0048"/>
    <x v="0"/>
    <x v="0"/>
    <x v="4"/>
    <s v="Offline"/>
    <s v="Medium"/>
    <x v="47"/>
    <n v="271"/>
    <n v="259.43"/>
    <n v="50.57"/>
    <n v="70305.53"/>
    <n v="56601.060000000005"/>
  </r>
  <r>
    <s v="ORD0049"/>
    <x v="3"/>
    <x v="1"/>
    <x v="2"/>
    <s v="Offline"/>
    <s v="High"/>
    <x v="48"/>
    <n v="225"/>
    <n v="296.08999999999997"/>
    <n v="238.53"/>
    <n v="66620.25"/>
    <n v="12950.999999999995"/>
  </r>
  <r>
    <s v="ORD0050"/>
    <x v="1"/>
    <x v="0"/>
    <x v="1"/>
    <s v="Online"/>
    <s v="High"/>
    <x v="49"/>
    <n v="156"/>
    <n v="19.55"/>
    <n v="374.71"/>
    <n v="3049.8"/>
    <n v="-55404.959999999992"/>
  </r>
  <r>
    <s v="ORD0051"/>
    <x v="0"/>
    <x v="1"/>
    <x v="3"/>
    <s v="Online"/>
    <s v="Medium"/>
    <x v="50"/>
    <n v="345"/>
    <n v="200.78"/>
    <n v="350.69"/>
    <n v="69269.100000000006"/>
    <n v="-51718.95"/>
  </r>
  <r>
    <s v="ORD0052"/>
    <x v="3"/>
    <x v="4"/>
    <x v="1"/>
    <s v="Online"/>
    <s v="Low"/>
    <x v="51"/>
    <n v="177"/>
    <n v="305.06"/>
    <n v="112.55"/>
    <n v="53995.62"/>
    <n v="34074.269999999997"/>
  </r>
  <r>
    <s v="ORD0053"/>
    <x v="0"/>
    <x v="0"/>
    <x v="1"/>
    <s v="Offline"/>
    <s v="High"/>
    <x v="52"/>
    <n v="101"/>
    <n v="300.87"/>
    <n v="340.88"/>
    <n v="30387.87"/>
    <n v="-4041.0099999999993"/>
  </r>
  <r>
    <s v="ORD0054"/>
    <x v="1"/>
    <x v="3"/>
    <x v="0"/>
    <s v="Offline"/>
    <s v="Low"/>
    <x v="53"/>
    <n v="362"/>
    <n v="397.51"/>
    <n v="2.13"/>
    <n v="143898.62"/>
    <n v="143127.56"/>
  </r>
  <r>
    <s v="ORD0055"/>
    <x v="0"/>
    <x v="1"/>
    <x v="3"/>
    <s v="Offline"/>
    <s v="Medium"/>
    <x v="54"/>
    <n v="68"/>
    <n v="329.23"/>
    <n v="9.0399999999999991"/>
    <n v="22387.64"/>
    <n v="21772.92"/>
  </r>
  <r>
    <s v="ORD0056"/>
    <x v="1"/>
    <x v="1"/>
    <x v="1"/>
    <s v="Offline"/>
    <s v="Medium"/>
    <x v="55"/>
    <n v="68"/>
    <n v="496.11"/>
    <n v="241.82"/>
    <n v="33735.480000000003"/>
    <n v="17291.72"/>
  </r>
  <r>
    <s v="ORD0057"/>
    <x v="1"/>
    <x v="0"/>
    <x v="1"/>
    <s v="Online"/>
    <s v="High"/>
    <x v="56"/>
    <n v="313"/>
    <n v="145.51"/>
    <n v="147.19"/>
    <n v="45544.63"/>
    <n v="-525.84000000000219"/>
  </r>
  <r>
    <s v="ORD0058"/>
    <x v="2"/>
    <x v="3"/>
    <x v="3"/>
    <s v="Online"/>
    <s v="Medium"/>
    <x v="57"/>
    <n v="178"/>
    <n v="182.78"/>
    <n v="155.81"/>
    <n v="32534.84"/>
    <n v="4800.66"/>
  </r>
  <r>
    <s v="ORD0059"/>
    <x v="0"/>
    <x v="3"/>
    <x v="3"/>
    <s v="Online"/>
    <s v="High"/>
    <x v="58"/>
    <n v="278"/>
    <n v="195"/>
    <n v="226.65"/>
    <n v="54210"/>
    <n v="-8798.7000000000007"/>
  </r>
  <r>
    <s v="ORD0060"/>
    <x v="2"/>
    <x v="4"/>
    <x v="1"/>
    <s v="Online"/>
    <s v="Medium"/>
    <x v="59"/>
    <n v="372"/>
    <n v="235.58"/>
    <n v="78.33"/>
    <n v="87635.760000000009"/>
    <n v="58497"/>
  </r>
  <r>
    <s v="ORD0061"/>
    <x v="0"/>
    <x v="3"/>
    <x v="3"/>
    <s v="Offline"/>
    <s v="Medium"/>
    <x v="60"/>
    <n v="54"/>
    <n v="418.82"/>
    <n v="86.28"/>
    <n v="22616.28"/>
    <n v="17957.159999999996"/>
  </r>
  <r>
    <s v="ORD0062"/>
    <x v="0"/>
    <x v="3"/>
    <x v="1"/>
    <s v="Offline"/>
    <s v="High"/>
    <x v="61"/>
    <n v="354"/>
    <n v="121.72"/>
    <n v="194.87"/>
    <n v="43088.88"/>
    <n v="-25895.100000000002"/>
  </r>
  <r>
    <s v="ORD0063"/>
    <x v="2"/>
    <x v="3"/>
    <x v="1"/>
    <s v="Online"/>
    <s v="High"/>
    <x v="62"/>
    <n v="190"/>
    <n v="389.12"/>
    <n v="302.19"/>
    <n v="73932.800000000003"/>
    <n v="16516.7"/>
  </r>
  <r>
    <s v="ORD0064"/>
    <x v="1"/>
    <x v="2"/>
    <x v="0"/>
    <s v="Online"/>
    <s v="High"/>
    <x v="63"/>
    <n v="179"/>
    <n v="205.63"/>
    <n v="248.56"/>
    <n v="36807.769999999997"/>
    <n v="-7684.4700000000012"/>
  </r>
  <r>
    <s v="ORD0065"/>
    <x v="0"/>
    <x v="4"/>
    <x v="4"/>
    <s v="Offline"/>
    <s v="Medium"/>
    <x v="64"/>
    <n v="365"/>
    <n v="302.92"/>
    <n v="120.35"/>
    <n v="110565.8"/>
    <n v="66638.05"/>
  </r>
  <r>
    <s v="ORD0066"/>
    <x v="3"/>
    <x v="1"/>
    <x v="1"/>
    <s v="Online"/>
    <s v="Medium"/>
    <x v="65"/>
    <n v="200"/>
    <n v="318.11"/>
    <n v="173.27"/>
    <n v="63622"/>
    <n v="28968"/>
  </r>
  <r>
    <s v="ORD0067"/>
    <x v="1"/>
    <x v="0"/>
    <x v="2"/>
    <s v="Offline"/>
    <s v="Low"/>
    <x v="66"/>
    <n v="164"/>
    <n v="189.56"/>
    <n v="69.92"/>
    <n v="31087.84"/>
    <n v="19620.96"/>
  </r>
  <r>
    <s v="ORD0068"/>
    <x v="2"/>
    <x v="1"/>
    <x v="4"/>
    <s v="Online"/>
    <s v="High"/>
    <x v="67"/>
    <n v="431"/>
    <n v="258.74"/>
    <n v="31.7"/>
    <n v="111516.94"/>
    <n v="97854.24"/>
  </r>
  <r>
    <s v="ORD0069"/>
    <x v="1"/>
    <x v="4"/>
    <x v="4"/>
    <s v="Online"/>
    <s v="Medium"/>
    <x v="68"/>
    <n v="197"/>
    <n v="209.45"/>
    <n v="313.51"/>
    <n v="41261.649999999994"/>
    <n v="-20499.82"/>
  </r>
  <r>
    <s v="ORD0070"/>
    <x v="3"/>
    <x v="0"/>
    <x v="4"/>
    <s v="Online"/>
    <s v="Medium"/>
    <x v="69"/>
    <n v="16"/>
    <n v="39.22"/>
    <n v="107.62"/>
    <n v="627.52"/>
    <n v="-1094.4000000000001"/>
  </r>
  <r>
    <s v="ORD0071"/>
    <x v="3"/>
    <x v="4"/>
    <x v="0"/>
    <s v="Online"/>
    <s v="High"/>
    <x v="70"/>
    <n v="142"/>
    <n v="221.4"/>
    <n v="72.75"/>
    <n v="31438.799999999999"/>
    <n v="21108.3"/>
  </r>
  <r>
    <s v="ORD0072"/>
    <x v="3"/>
    <x v="3"/>
    <x v="1"/>
    <s v="Online"/>
    <s v="Low"/>
    <x v="71"/>
    <n v="244"/>
    <n v="53.21"/>
    <n v="277.26"/>
    <n v="12983.24"/>
    <n v="-54668.2"/>
  </r>
  <r>
    <s v="ORD0073"/>
    <x v="2"/>
    <x v="0"/>
    <x v="0"/>
    <s v="Online"/>
    <s v="High"/>
    <x v="72"/>
    <n v="54"/>
    <n v="205.49"/>
    <n v="247.98"/>
    <n v="11096.460000000001"/>
    <n v="-2294.4599999999991"/>
  </r>
  <r>
    <s v="ORD0074"/>
    <x v="3"/>
    <x v="3"/>
    <x v="1"/>
    <s v="Online"/>
    <s v="Low"/>
    <x v="73"/>
    <n v="323"/>
    <n v="298.49"/>
    <n v="254.01"/>
    <n v="96412.27"/>
    <n v="14367.040000000006"/>
  </r>
  <r>
    <s v="ORD0075"/>
    <x v="2"/>
    <x v="1"/>
    <x v="0"/>
    <s v="Offline"/>
    <s v="Medium"/>
    <x v="74"/>
    <n v="258"/>
    <n v="291.81"/>
    <n v="93.1"/>
    <n v="75286.98"/>
    <n v="51267.18"/>
  </r>
  <r>
    <s v="ORD0076"/>
    <x v="3"/>
    <x v="1"/>
    <x v="0"/>
    <s v="Offline"/>
    <s v="Low"/>
    <x v="75"/>
    <n v="40"/>
    <n v="333"/>
    <n v="94.59"/>
    <n v="13320"/>
    <n v="9536.4"/>
  </r>
  <r>
    <s v="ORD0077"/>
    <x v="1"/>
    <x v="0"/>
    <x v="2"/>
    <s v="Offline"/>
    <s v="Medium"/>
    <x v="76"/>
    <n v="32"/>
    <n v="52.15"/>
    <n v="89.88"/>
    <n v="1668.8"/>
    <n v="-1207.3599999999999"/>
  </r>
  <r>
    <s v="ORD0078"/>
    <x v="1"/>
    <x v="0"/>
    <x v="0"/>
    <s v="Offline"/>
    <s v="High"/>
    <x v="77"/>
    <n v="435"/>
    <n v="327.8"/>
    <n v="71.150000000000006"/>
    <n v="142593"/>
    <n v="111642.74999999999"/>
  </r>
  <r>
    <s v="ORD0079"/>
    <x v="0"/>
    <x v="4"/>
    <x v="3"/>
    <s v="Offline"/>
    <s v="High"/>
    <x v="78"/>
    <n v="403"/>
    <n v="159.51"/>
    <n v="262.98"/>
    <n v="64282.53"/>
    <n v="-41698.410000000011"/>
  </r>
  <r>
    <s v="ORD0080"/>
    <x v="1"/>
    <x v="4"/>
    <x v="2"/>
    <s v="Online"/>
    <s v="High"/>
    <x v="79"/>
    <n v="169"/>
    <n v="249.64500000000001"/>
    <n v="339.51"/>
    <n v="42190.005000000005"/>
    <n v="-15187.184999999996"/>
  </r>
  <r>
    <s v="ORD0081"/>
    <x v="0"/>
    <x v="3"/>
    <x v="0"/>
    <s v="Online"/>
    <s v="Low"/>
    <x v="80"/>
    <n v="372"/>
    <n v="429.7"/>
    <n v="290.27999999999997"/>
    <n v="159848.4"/>
    <n v="51864.240000000005"/>
  </r>
  <r>
    <s v="ORD0082"/>
    <x v="1"/>
    <x v="0"/>
    <x v="4"/>
    <s v="Offline"/>
    <s v="Medium"/>
    <x v="81"/>
    <n v="446"/>
    <n v="9.4700000000000006"/>
    <n v="317.25"/>
    <n v="4223.62"/>
    <n v="-137269.87999999998"/>
  </r>
  <r>
    <s v="ORD0083"/>
    <x v="2"/>
    <x v="1"/>
    <x v="3"/>
    <s v="Online"/>
    <s v="High"/>
    <x v="82"/>
    <n v="167"/>
    <n v="296.26"/>
    <n v="163.11000000000001"/>
    <n v="49475.42"/>
    <n v="22236.049999999996"/>
  </r>
  <r>
    <s v="ORD0084"/>
    <x v="1"/>
    <x v="4"/>
    <x v="3"/>
    <s v="Offline"/>
    <s v="High"/>
    <x v="83"/>
    <n v="48"/>
    <n v="301.36"/>
    <n v="262.32"/>
    <n v="14465.28"/>
    <n v="1873.920000000001"/>
  </r>
  <r>
    <s v="ORD0085"/>
    <x v="0"/>
    <x v="4"/>
    <x v="3"/>
    <s v="Offline"/>
    <s v="Medium"/>
    <x v="84"/>
    <n v="424"/>
    <n v="201.35"/>
    <n v="142.99"/>
    <n v="85372.4"/>
    <n v="24744.639999999992"/>
  </r>
  <r>
    <s v="ORD0086"/>
    <x v="0"/>
    <x v="1"/>
    <x v="2"/>
    <s v="Online"/>
    <s v="High"/>
    <x v="85"/>
    <n v="91"/>
    <n v="122.33"/>
    <n v="211.15"/>
    <n v="11132.03"/>
    <n v="-8082.6200000000008"/>
  </r>
  <r>
    <s v="ORD0087"/>
    <x v="3"/>
    <x v="4"/>
    <x v="0"/>
    <s v="Online"/>
    <s v="Medium"/>
    <x v="86"/>
    <n v="365"/>
    <n v="121.16"/>
    <n v="193.69"/>
    <n v="44223.4"/>
    <n v="-26473.45"/>
  </r>
  <r>
    <s v="ORD0088"/>
    <x v="2"/>
    <x v="3"/>
    <x v="0"/>
    <s v="Online"/>
    <s v="Medium"/>
    <x v="87"/>
    <n v="267"/>
    <n v="442.44"/>
    <n v="72.400000000000006"/>
    <n v="118131.48"/>
    <n v="98800.68"/>
  </r>
  <r>
    <s v="ORD0089"/>
    <x v="1"/>
    <x v="0"/>
    <x v="4"/>
    <s v="Offline"/>
    <s v="Medium"/>
    <x v="88"/>
    <n v="215"/>
    <n v="223.8"/>
    <n v="156.06"/>
    <n v="48117"/>
    <n v="14564.100000000002"/>
  </r>
  <r>
    <s v="ORD0090"/>
    <x v="3"/>
    <x v="1"/>
    <x v="4"/>
    <s v="Online"/>
    <s v="Medium"/>
    <x v="89"/>
    <n v="86"/>
    <n v="168.79"/>
    <n v="385.6"/>
    <n v="14515.939999999999"/>
    <n v="-18645.660000000003"/>
  </r>
  <r>
    <s v="ORD0091"/>
    <x v="1"/>
    <x v="0"/>
    <x v="3"/>
    <s v="Offline"/>
    <s v="Medium"/>
    <x v="90"/>
    <n v="486"/>
    <n v="227.14"/>
    <n v="100.93"/>
    <n v="110390.04"/>
    <n v="61338.05999999999"/>
  </r>
  <r>
    <s v="ORD0092"/>
    <x v="1"/>
    <x v="4"/>
    <x v="4"/>
    <s v="Offline"/>
    <s v="Low"/>
    <x v="91"/>
    <n v="21"/>
    <n v="249.64500000000001"/>
    <n v="55.25"/>
    <n v="5242.5450000000001"/>
    <n v="4082.2950000000001"/>
  </r>
  <r>
    <s v="ORD0093"/>
    <x v="3"/>
    <x v="4"/>
    <x v="2"/>
    <s v="Offline"/>
    <s v="High"/>
    <x v="92"/>
    <n v="304"/>
    <n v="77.150000000000006"/>
    <n v="168.6"/>
    <n v="23453.600000000002"/>
    <n v="-27800.799999999996"/>
  </r>
  <r>
    <s v="ORD0094"/>
    <x v="3"/>
    <x v="1"/>
    <x v="0"/>
    <s v="Online"/>
    <s v="Low"/>
    <x v="93"/>
    <n v="459"/>
    <n v="227.47"/>
    <n v="316.55"/>
    <n v="104408.73"/>
    <n v="-40887.720000000008"/>
  </r>
  <r>
    <s v="ORD0095"/>
    <x v="3"/>
    <x v="3"/>
    <x v="3"/>
    <s v="Online"/>
    <s v="High"/>
    <x v="94"/>
    <n v="233"/>
    <n v="296"/>
    <n v="233.69"/>
    <n v="68968"/>
    <n v="14518.230000000001"/>
  </r>
  <r>
    <s v="ORD0096"/>
    <x v="3"/>
    <x v="2"/>
    <x v="4"/>
    <s v="Offline"/>
    <s v="Low"/>
    <x v="95"/>
    <n v="22"/>
    <n v="474.55"/>
    <n v="273.02999999999997"/>
    <n v="10440.1"/>
    <n v="4433.4400000000005"/>
  </r>
  <r>
    <s v="ORD0097"/>
    <x v="3"/>
    <x v="1"/>
    <x v="2"/>
    <s v="Online"/>
    <s v="Medium"/>
    <x v="96"/>
    <n v="55"/>
    <n v="130"/>
    <n v="77.5"/>
    <n v="7150"/>
    <n v="2887.5"/>
  </r>
  <r>
    <s v="ORD0098"/>
    <x v="1"/>
    <x v="2"/>
    <x v="2"/>
    <s v="Online"/>
    <s v="High"/>
    <x v="97"/>
    <n v="164"/>
    <n v="182.83"/>
    <n v="248.34"/>
    <n v="29984.120000000003"/>
    <n v="-10743.64"/>
  </r>
  <r>
    <s v="ORD0099"/>
    <x v="3"/>
    <x v="2"/>
    <x v="4"/>
    <s v="Online"/>
    <s v="High"/>
    <x v="98"/>
    <n v="122"/>
    <n v="192.78"/>
    <n v="130.75"/>
    <n v="23519.16"/>
    <n v="7567.66"/>
  </r>
  <r>
    <s v="ORD0100"/>
    <x v="2"/>
    <x v="3"/>
    <x v="0"/>
    <s v="Offline"/>
    <s v="Low"/>
    <x v="99"/>
    <n v="242"/>
    <n v="304.74"/>
    <n v="334.05"/>
    <n v="73747.08"/>
    <n v="-7093.02"/>
  </r>
  <r>
    <s v="ORD0101"/>
    <x v="0"/>
    <x v="2"/>
    <x v="4"/>
    <s v="Offline"/>
    <s v="Low"/>
    <x v="100"/>
    <n v="26"/>
    <n v="181.58"/>
    <n v="252.46"/>
    <n v="4721.08"/>
    <n v="-1842.8799999999999"/>
  </r>
  <r>
    <s v="ORD0102"/>
    <x v="3"/>
    <x v="2"/>
    <x v="3"/>
    <s v="Online"/>
    <s v="High"/>
    <x v="101"/>
    <n v="369"/>
    <n v="269.08999999999997"/>
    <n v="81.14"/>
    <n v="99294.209999999992"/>
    <n v="69353.55"/>
  </r>
  <r>
    <s v="ORD0103"/>
    <x v="3"/>
    <x v="3"/>
    <x v="4"/>
    <s v="Offline"/>
    <s v="Low"/>
    <x v="102"/>
    <n v="232"/>
    <n v="391.99"/>
    <n v="27.72"/>
    <n v="90941.680000000008"/>
    <n v="84510.64"/>
  </r>
  <r>
    <s v="ORD0104"/>
    <x v="1"/>
    <x v="2"/>
    <x v="2"/>
    <s v="Online"/>
    <s v="Low"/>
    <x v="103"/>
    <n v="363"/>
    <n v="354.17"/>
    <n v="18.97"/>
    <n v="128563.71"/>
    <n v="121677.60000000002"/>
  </r>
  <r>
    <s v="ORD0105"/>
    <x v="3"/>
    <x v="2"/>
    <x v="4"/>
    <s v="Online"/>
    <s v="Low"/>
    <x v="104"/>
    <n v="197"/>
    <n v="225.95"/>
    <n v="149.82"/>
    <n v="44512.149999999994"/>
    <n v="14997.609999999999"/>
  </r>
  <r>
    <s v="ORD0106"/>
    <x v="3"/>
    <x v="2"/>
    <x v="0"/>
    <s v="Online"/>
    <s v="Medium"/>
    <x v="105"/>
    <n v="457"/>
    <n v="432.79"/>
    <n v="107.81"/>
    <n v="197785.03"/>
    <n v="148515.86000000002"/>
  </r>
  <r>
    <s v="ORD0107"/>
    <x v="3"/>
    <x v="1"/>
    <x v="1"/>
    <s v="Online"/>
    <s v="Medium"/>
    <x v="106"/>
    <n v="353"/>
    <n v="281.27999999999997"/>
    <n v="259.14"/>
    <n v="99291.839999999997"/>
    <n v="7815.4199999999955"/>
  </r>
  <r>
    <s v="ORD0108"/>
    <x v="1"/>
    <x v="1"/>
    <x v="4"/>
    <s v="Offline"/>
    <s v="Low"/>
    <x v="107"/>
    <n v="374"/>
    <n v="272.25"/>
    <n v="200.73"/>
    <n v="101821.5"/>
    <n v="26748.480000000003"/>
  </r>
  <r>
    <s v="ORD0109"/>
    <x v="3"/>
    <x v="1"/>
    <x v="0"/>
    <s v="Offline"/>
    <s v="Low"/>
    <x v="108"/>
    <n v="172"/>
    <n v="21.92"/>
    <n v="107.88"/>
    <n v="3770.2400000000002"/>
    <n v="-14785.119999999999"/>
  </r>
  <r>
    <s v="ORD0110"/>
    <x v="0"/>
    <x v="3"/>
    <x v="0"/>
    <s v="Offline"/>
    <s v="Medium"/>
    <x v="109"/>
    <n v="335"/>
    <n v="493.41"/>
    <n v="61.4"/>
    <n v="165292.35"/>
    <n v="144723.35"/>
  </r>
  <r>
    <s v="ORD0111"/>
    <x v="1"/>
    <x v="4"/>
    <x v="2"/>
    <s v="Online"/>
    <s v="Medium"/>
    <x v="110"/>
    <n v="476"/>
    <n v="65.87"/>
    <n v="52.63"/>
    <n v="31354.120000000003"/>
    <n v="6302.2400000000007"/>
  </r>
  <r>
    <s v="ORD0112"/>
    <x v="0"/>
    <x v="2"/>
    <x v="0"/>
    <s v="Online"/>
    <s v="High"/>
    <x v="111"/>
    <n v="423"/>
    <n v="119.41"/>
    <n v="346.13"/>
    <n v="50510.43"/>
    <n v="-95902.56"/>
  </r>
  <r>
    <s v="ORD0113"/>
    <x v="1"/>
    <x v="2"/>
    <x v="0"/>
    <s v="Online"/>
    <s v="High"/>
    <x v="112"/>
    <n v="464"/>
    <n v="30.59"/>
    <n v="98.9"/>
    <n v="14193.76"/>
    <n v="-31695.84"/>
  </r>
  <r>
    <s v="ORD0114"/>
    <x v="3"/>
    <x v="3"/>
    <x v="0"/>
    <s v="Offline"/>
    <s v="Medium"/>
    <x v="113"/>
    <n v="83"/>
    <n v="321.8"/>
    <n v="261.38"/>
    <n v="26709.4"/>
    <n v="5014.8600000000015"/>
  </r>
  <r>
    <s v="ORD0115"/>
    <x v="0"/>
    <x v="2"/>
    <x v="0"/>
    <s v="Online"/>
    <s v="Low"/>
    <x v="114"/>
    <n v="242"/>
    <n v="116.23"/>
    <n v="324.64999999999998"/>
    <n v="28127.66"/>
    <n v="-50437.639999999992"/>
  </r>
  <r>
    <s v="ORD0116"/>
    <x v="1"/>
    <x v="1"/>
    <x v="3"/>
    <s v="Offline"/>
    <s v="Low"/>
    <x v="115"/>
    <n v="233"/>
    <n v="94.11"/>
    <n v="246.4"/>
    <n v="21927.63"/>
    <n v="-35483.570000000007"/>
  </r>
  <r>
    <s v="ORD0117"/>
    <x v="2"/>
    <x v="4"/>
    <x v="3"/>
    <s v="Offline"/>
    <s v="Low"/>
    <x v="116"/>
    <n v="491"/>
    <n v="48.84"/>
    <n v="344.11"/>
    <n v="23980.440000000002"/>
    <n v="-144977.56999999998"/>
  </r>
  <r>
    <s v="ORD0118"/>
    <x v="1"/>
    <x v="0"/>
    <x v="2"/>
    <s v="Offline"/>
    <s v="Low"/>
    <x v="117"/>
    <n v="328"/>
    <n v="56.14"/>
    <n v="158.16999999999999"/>
    <n v="18413.920000000002"/>
    <n v="-33465.839999999997"/>
  </r>
  <r>
    <s v="ORD0119"/>
    <x v="1"/>
    <x v="2"/>
    <x v="4"/>
    <s v="Offline"/>
    <s v="High"/>
    <x v="118"/>
    <n v="421"/>
    <n v="294.41000000000003"/>
    <n v="382.58"/>
    <n v="123946.61000000002"/>
    <n v="-37119.569999999985"/>
  </r>
  <r>
    <s v="ORD0120"/>
    <x v="2"/>
    <x v="1"/>
    <x v="0"/>
    <s v="Offline"/>
    <s v="Medium"/>
    <x v="119"/>
    <n v="69"/>
    <n v="345.66"/>
    <n v="54.99"/>
    <n v="23850.54"/>
    <n v="20056.23"/>
  </r>
  <r>
    <s v="ORD0121"/>
    <x v="1"/>
    <x v="0"/>
    <x v="4"/>
    <s v="Offline"/>
    <s v="Low"/>
    <x v="120"/>
    <n v="344"/>
    <n v="201.7"/>
    <n v="42.66"/>
    <n v="69384.800000000003"/>
    <n v="54709.759999999995"/>
  </r>
  <r>
    <s v="ORD0122"/>
    <x v="1"/>
    <x v="4"/>
    <x v="4"/>
    <s v="Online"/>
    <s v="High"/>
    <x v="121"/>
    <n v="231"/>
    <n v="242.55"/>
    <n v="264.16000000000003"/>
    <n v="56029.05"/>
    <n v="-4991.9100000000035"/>
  </r>
  <r>
    <s v="ORD0123"/>
    <x v="3"/>
    <x v="0"/>
    <x v="2"/>
    <s v="Online"/>
    <s v="Low"/>
    <x v="122"/>
    <n v="46"/>
    <n v="344.55"/>
    <n v="377.25"/>
    <n v="15849.300000000001"/>
    <n v="-1504.1999999999994"/>
  </r>
  <r>
    <s v="ORD0124"/>
    <x v="0"/>
    <x v="1"/>
    <x v="0"/>
    <s v="Offline"/>
    <s v="Medium"/>
    <x v="123"/>
    <n v="486"/>
    <n v="13.6"/>
    <n v="323.94"/>
    <n v="6609.5999999999995"/>
    <n v="-150825.24"/>
  </r>
  <r>
    <s v="ORD0125"/>
    <x v="2"/>
    <x v="0"/>
    <x v="0"/>
    <s v="Offline"/>
    <s v="High"/>
    <x v="124"/>
    <n v="287"/>
    <n v="164.95"/>
    <n v="32.409999999999997"/>
    <n v="47340.649999999994"/>
    <n v="38038.979999999996"/>
  </r>
  <r>
    <s v="ORD0126"/>
    <x v="1"/>
    <x v="3"/>
    <x v="1"/>
    <s v="Online"/>
    <s v="Medium"/>
    <x v="125"/>
    <n v="205"/>
    <n v="486.68"/>
    <n v="113.19"/>
    <n v="99769.4"/>
    <n v="76565.45"/>
  </r>
  <r>
    <s v="ORD0127"/>
    <x v="3"/>
    <x v="0"/>
    <x v="4"/>
    <s v="Offline"/>
    <s v="Medium"/>
    <x v="126"/>
    <n v="413"/>
    <n v="292.16000000000003"/>
    <n v="372.27"/>
    <n v="120662.08000000002"/>
    <n v="-33085.429999999986"/>
  </r>
  <r>
    <s v="ORD0128"/>
    <x v="2"/>
    <x v="2"/>
    <x v="4"/>
    <s v="Offline"/>
    <s v="High"/>
    <x v="127"/>
    <n v="361"/>
    <n v="130.84"/>
    <n v="102.72"/>
    <n v="47233.24"/>
    <n v="10151.320000000002"/>
  </r>
  <r>
    <s v="ORD0129"/>
    <x v="1"/>
    <x v="2"/>
    <x v="3"/>
    <s v="Online"/>
    <s v="High"/>
    <x v="128"/>
    <n v="493"/>
    <n v="263.26"/>
    <n v="312.91000000000003"/>
    <n v="129787.18"/>
    <n v="-24477.450000000015"/>
  </r>
  <r>
    <s v="ORD0130"/>
    <x v="1"/>
    <x v="3"/>
    <x v="1"/>
    <s v="Offline"/>
    <s v="High"/>
    <x v="129"/>
    <n v="251"/>
    <n v="174.61"/>
    <n v="330.4"/>
    <n v="43827.11"/>
    <n v="-39103.289999999994"/>
  </r>
  <r>
    <s v="ORD0131"/>
    <x v="1"/>
    <x v="1"/>
    <x v="3"/>
    <s v="Offline"/>
    <s v="High"/>
    <x v="130"/>
    <n v="255.90299999999999"/>
    <n v="268.45999999999998"/>
    <n v="199.19"/>
    <n v="68699.719379999995"/>
    <n v="17726.400809999996"/>
  </r>
  <r>
    <s v="ORD0132"/>
    <x v="2"/>
    <x v="2"/>
    <x v="3"/>
    <s v="Offline"/>
    <s v="High"/>
    <x v="131"/>
    <n v="228"/>
    <n v="67.239999999999995"/>
    <n v="155.77000000000001"/>
    <n v="15330.72"/>
    <n v="-20184.840000000004"/>
  </r>
  <r>
    <s v="ORD0133"/>
    <x v="2"/>
    <x v="4"/>
    <x v="3"/>
    <s v="Online"/>
    <s v="High"/>
    <x v="132"/>
    <n v="201"/>
    <n v="70.69"/>
    <n v="181.15"/>
    <n v="14208.689999999999"/>
    <n v="-22202.460000000003"/>
  </r>
  <r>
    <s v="ORD0134"/>
    <x v="2"/>
    <x v="2"/>
    <x v="2"/>
    <s v="Online"/>
    <s v="High"/>
    <x v="133"/>
    <n v="26"/>
    <n v="76.05"/>
    <n v="92.33"/>
    <n v="1977.3"/>
    <n v="-423.28000000000003"/>
  </r>
  <r>
    <s v="ORD0135"/>
    <x v="0"/>
    <x v="2"/>
    <x v="2"/>
    <s v="Online"/>
    <s v="Low"/>
    <x v="134"/>
    <n v="21"/>
    <n v="470.21"/>
    <n v="355.98"/>
    <n v="9874.41"/>
    <n v="2398.829999999999"/>
  </r>
  <r>
    <s v="ORD0136"/>
    <x v="2"/>
    <x v="1"/>
    <x v="3"/>
    <s v="Offline"/>
    <s v="Medium"/>
    <x v="135"/>
    <n v="415"/>
    <n v="367.78"/>
    <n v="181.35"/>
    <n v="152628.69999999998"/>
    <n v="77368.45"/>
  </r>
  <r>
    <s v="ORD0137"/>
    <x v="2"/>
    <x v="0"/>
    <x v="1"/>
    <s v="Offline"/>
    <s v="High"/>
    <x v="136"/>
    <n v="410"/>
    <n v="85.38"/>
    <n v="353.22"/>
    <n v="35005.799999999996"/>
    <n v="-109814.40000000001"/>
  </r>
  <r>
    <s v="ORD0138"/>
    <x v="2"/>
    <x v="2"/>
    <x v="4"/>
    <s v="Online"/>
    <s v="Low"/>
    <x v="137"/>
    <n v="403"/>
    <n v="98.23"/>
    <n v="44.07"/>
    <n v="39586.69"/>
    <n v="21826.480000000003"/>
  </r>
  <r>
    <s v="ORD0139"/>
    <x v="0"/>
    <x v="3"/>
    <x v="1"/>
    <s v="Offline"/>
    <s v="Low"/>
    <x v="138"/>
    <n v="383"/>
    <n v="366.76"/>
    <n v="395.33"/>
    <n v="140469.07999999999"/>
    <n v="-10942.309999999998"/>
  </r>
  <r>
    <s v="ORD0140"/>
    <x v="2"/>
    <x v="0"/>
    <x v="0"/>
    <s v="Offline"/>
    <s v="Low"/>
    <x v="139"/>
    <n v="202"/>
    <n v="82.3"/>
    <n v="178.42"/>
    <n v="16624.599999999999"/>
    <n v="-19416.239999999998"/>
  </r>
  <r>
    <s v="ORD0141"/>
    <x v="1"/>
    <x v="4"/>
    <x v="2"/>
    <s v="Offline"/>
    <s v="Medium"/>
    <x v="140"/>
    <n v="31"/>
    <n v="121.11"/>
    <n v="21.04"/>
    <n v="3754.41"/>
    <n v="3102.1699999999996"/>
  </r>
  <r>
    <s v="ORD0142"/>
    <x v="2"/>
    <x v="1"/>
    <x v="4"/>
    <s v="Offline"/>
    <s v="High"/>
    <x v="141"/>
    <n v="483"/>
    <n v="481.86"/>
    <n v="17.13"/>
    <n v="232738.38"/>
    <n v="224464.59"/>
  </r>
  <r>
    <s v="ORD0143"/>
    <x v="1"/>
    <x v="4"/>
    <x v="4"/>
    <s v="Offline"/>
    <s v="Low"/>
    <x v="142"/>
    <n v="129"/>
    <n v="131.38"/>
    <n v="298.99"/>
    <n v="16948.02"/>
    <n v="-21621.690000000002"/>
  </r>
  <r>
    <s v="ORD0144"/>
    <x v="1"/>
    <x v="0"/>
    <x v="0"/>
    <s v="Online"/>
    <s v="Medium"/>
    <x v="143"/>
    <n v="219"/>
    <n v="332.51"/>
    <n v="264.3"/>
    <n v="72819.69"/>
    <n v="14937.989999999996"/>
  </r>
  <r>
    <s v="ORD0145"/>
    <x v="1"/>
    <x v="0"/>
    <x v="0"/>
    <s v="Offline"/>
    <s v="Medium"/>
    <x v="144"/>
    <n v="315"/>
    <n v="489.42"/>
    <n v="321.25"/>
    <n v="154167.30000000002"/>
    <n v="52973.55"/>
  </r>
  <r>
    <s v="ORD0146"/>
    <x v="0"/>
    <x v="0"/>
    <x v="3"/>
    <s v="Online"/>
    <s v="Medium"/>
    <x v="145"/>
    <n v="279"/>
    <n v="190.28"/>
    <n v="43.94"/>
    <n v="53088.12"/>
    <n v="40828.86"/>
  </r>
  <r>
    <s v="ORD0147"/>
    <x v="0"/>
    <x v="4"/>
    <x v="2"/>
    <s v="Offline"/>
    <s v="Low"/>
    <x v="146"/>
    <n v="201"/>
    <n v="13.67"/>
    <n v="16.16"/>
    <n v="2747.67"/>
    <n v="-500.49000000000007"/>
  </r>
  <r>
    <s v="ORD0148"/>
    <x v="0"/>
    <x v="0"/>
    <x v="2"/>
    <s v="Online"/>
    <s v="High"/>
    <x v="147"/>
    <n v="184"/>
    <n v="125.85"/>
    <n v="204.41"/>
    <n v="23156.399999999998"/>
    <n v="-14455.04"/>
  </r>
  <r>
    <s v="ORD0149"/>
    <x v="2"/>
    <x v="4"/>
    <x v="1"/>
    <s v="Offline"/>
    <s v="Low"/>
    <x v="148"/>
    <n v="294"/>
    <n v="416.28"/>
    <n v="156.26"/>
    <n v="122386.31999999999"/>
    <n v="76445.87999999999"/>
  </r>
  <r>
    <s v="ORD0150"/>
    <x v="1"/>
    <x v="0"/>
    <x v="3"/>
    <s v="Online"/>
    <s v="Low"/>
    <x v="149"/>
    <n v="213"/>
    <n v="432.98"/>
    <n v="185.85"/>
    <n v="92224.74"/>
    <n v="52638.69"/>
  </r>
  <r>
    <s v="ORD0151"/>
    <x v="0"/>
    <x v="3"/>
    <x v="3"/>
    <s v="Offline"/>
    <s v="High"/>
    <x v="150"/>
    <n v="173"/>
    <n v="385.42"/>
    <n v="396.65"/>
    <n v="66677.66"/>
    <n v="-1942.7899999999934"/>
  </r>
  <r>
    <s v="ORD0152"/>
    <x v="0"/>
    <x v="0"/>
    <x v="3"/>
    <s v="Online"/>
    <s v="High"/>
    <x v="151"/>
    <n v="260"/>
    <n v="60.99"/>
    <n v="388.36"/>
    <n v="15857.4"/>
    <n v="-85116.2"/>
  </r>
  <r>
    <s v="ORD0153"/>
    <x v="2"/>
    <x v="4"/>
    <x v="3"/>
    <s v="Offline"/>
    <s v="High"/>
    <x v="152"/>
    <n v="236"/>
    <n v="398.78"/>
    <n v="377.04"/>
    <n v="94112.079999999987"/>
    <n v="5130.6399999999885"/>
  </r>
  <r>
    <s v="ORD0154"/>
    <x v="0"/>
    <x v="2"/>
    <x v="2"/>
    <s v="Online"/>
    <s v="Medium"/>
    <x v="153"/>
    <n v="445"/>
    <n v="459.75"/>
    <n v="313.97000000000003"/>
    <n v="204588.75"/>
    <n v="64872.099999999991"/>
  </r>
  <r>
    <s v="ORD0155"/>
    <x v="2"/>
    <x v="0"/>
    <x v="2"/>
    <s v="Offline"/>
    <s v="High"/>
    <x v="154"/>
    <n v="390"/>
    <n v="302.3"/>
    <n v="143.22999999999999"/>
    <n v="117897"/>
    <n v="62037.30000000001"/>
  </r>
  <r>
    <s v="ORD0156"/>
    <x v="3"/>
    <x v="2"/>
    <x v="3"/>
    <s v="Online"/>
    <s v="Low"/>
    <x v="155"/>
    <n v="469"/>
    <n v="470.73"/>
    <n v="166.03"/>
    <n v="220772.37"/>
    <n v="142904.30000000002"/>
  </r>
  <r>
    <s v="ORD0157"/>
    <x v="0"/>
    <x v="3"/>
    <x v="1"/>
    <s v="Online"/>
    <s v="High"/>
    <x v="156"/>
    <n v="16"/>
    <n v="249.64500000000001"/>
    <n v="220.75"/>
    <n v="3994.32"/>
    <n v="462.32000000000016"/>
  </r>
  <r>
    <s v="ORD0158"/>
    <x v="3"/>
    <x v="1"/>
    <x v="4"/>
    <s v="Offline"/>
    <s v="Low"/>
    <x v="157"/>
    <n v="38"/>
    <n v="335.15"/>
    <n v="332.55"/>
    <n v="12735.699999999999"/>
    <n v="98.799999999998704"/>
  </r>
  <r>
    <s v="ORD0159"/>
    <x v="2"/>
    <x v="3"/>
    <x v="0"/>
    <s v="Offline"/>
    <s v="Medium"/>
    <x v="158"/>
    <n v="404"/>
    <n v="290.70999999999998"/>
    <n v="29.35"/>
    <n v="117446.84"/>
    <n v="105589.43999999999"/>
  </r>
  <r>
    <s v="ORD0160"/>
    <x v="1"/>
    <x v="0"/>
    <x v="1"/>
    <s v="Online"/>
    <s v="Low"/>
    <x v="159"/>
    <n v="42"/>
    <n v="177.54"/>
    <n v="170.87"/>
    <n v="7456.6799999999994"/>
    <n v="280.13999999999947"/>
  </r>
  <r>
    <s v="ORD0161"/>
    <x v="0"/>
    <x v="2"/>
    <x v="3"/>
    <s v="Offline"/>
    <s v="Low"/>
    <x v="160"/>
    <n v="143"/>
    <n v="83.85"/>
    <n v="34.880000000000003"/>
    <n v="11990.55"/>
    <n v="7002.7099999999991"/>
  </r>
  <r>
    <s v="ORD0162"/>
    <x v="2"/>
    <x v="2"/>
    <x v="2"/>
    <s v="Online"/>
    <s v="High"/>
    <x v="161"/>
    <n v="376"/>
    <n v="304.45"/>
    <n v="206.83"/>
    <n v="114473.2"/>
    <n v="36705.119999999988"/>
  </r>
  <r>
    <s v="ORD0163"/>
    <x v="1"/>
    <x v="4"/>
    <x v="4"/>
    <s v="Online"/>
    <s v="High"/>
    <x v="162"/>
    <n v="88"/>
    <n v="162.47"/>
    <n v="359.76"/>
    <n v="14297.36"/>
    <n v="-17361.52"/>
  </r>
  <r>
    <s v="ORD0164"/>
    <x v="1"/>
    <x v="2"/>
    <x v="0"/>
    <s v="Online"/>
    <s v="Low"/>
    <x v="163"/>
    <n v="425"/>
    <n v="433.89"/>
    <n v="313.43"/>
    <n v="184403.25"/>
    <n v="51195.499999999993"/>
  </r>
  <r>
    <s v="ORD0165"/>
    <x v="3"/>
    <x v="4"/>
    <x v="0"/>
    <s v="Offline"/>
    <s v="High"/>
    <x v="164"/>
    <n v="444"/>
    <n v="496.7"/>
    <n v="92.68"/>
    <n v="220534.8"/>
    <n v="179384.88"/>
  </r>
  <r>
    <s v="ORD0166"/>
    <x v="2"/>
    <x v="1"/>
    <x v="1"/>
    <s v="Online"/>
    <s v="Medium"/>
    <x v="165"/>
    <n v="468"/>
    <n v="377.45"/>
    <n v="390.44"/>
    <n v="176646.6"/>
    <n v="-6079.3200000000043"/>
  </r>
  <r>
    <s v="ORD0167"/>
    <x v="1"/>
    <x v="0"/>
    <x v="3"/>
    <s v="Online"/>
    <s v="Medium"/>
    <x v="166"/>
    <n v="67"/>
    <n v="49.79"/>
    <n v="267.61"/>
    <n v="3335.93"/>
    <n v="-14593.940000000002"/>
  </r>
  <r>
    <s v="ORD0168"/>
    <x v="0"/>
    <x v="4"/>
    <x v="4"/>
    <s v="Offline"/>
    <s v="High"/>
    <x v="167"/>
    <n v="480"/>
    <n v="147.9"/>
    <n v="6.15"/>
    <n v="70992"/>
    <n v="68040"/>
  </r>
  <r>
    <s v="ORD0169"/>
    <x v="0"/>
    <x v="1"/>
    <x v="3"/>
    <s v="Offline"/>
    <s v="Medium"/>
    <x v="168"/>
    <n v="35"/>
    <n v="59.01"/>
    <n v="103.65"/>
    <n v="2065.35"/>
    <n v="-1562.4000000000003"/>
  </r>
  <r>
    <s v="ORD0170"/>
    <x v="3"/>
    <x v="2"/>
    <x v="4"/>
    <s v="Offline"/>
    <s v="High"/>
    <x v="169"/>
    <n v="491"/>
    <n v="327"/>
    <n v="105.76"/>
    <n v="160557"/>
    <n v="108628.84000000001"/>
  </r>
  <r>
    <s v="ORD0171"/>
    <x v="1"/>
    <x v="2"/>
    <x v="1"/>
    <s v="Offline"/>
    <s v="Low"/>
    <x v="170"/>
    <n v="439"/>
    <n v="383.77"/>
    <n v="29.56"/>
    <n v="168475.03"/>
    <n v="155498.19"/>
  </r>
  <r>
    <s v="ORD0172"/>
    <x v="2"/>
    <x v="1"/>
    <x v="1"/>
    <s v="Online"/>
    <s v="Low"/>
    <x v="171"/>
    <n v="235"/>
    <n v="463.21"/>
    <n v="384.01"/>
    <n v="108854.34999999999"/>
    <n v="18611.999999999996"/>
  </r>
  <r>
    <s v="ORD0173"/>
    <x v="0"/>
    <x v="2"/>
    <x v="0"/>
    <s v="Online"/>
    <s v="Medium"/>
    <x v="172"/>
    <n v="294"/>
    <n v="221.9"/>
    <n v="192.35"/>
    <n v="65238.6"/>
    <n v="8687.7000000000025"/>
  </r>
  <r>
    <s v="ORD0174"/>
    <x v="1"/>
    <x v="1"/>
    <x v="3"/>
    <s v="Online"/>
    <s v="High"/>
    <x v="173"/>
    <n v="13"/>
    <n v="451.18"/>
    <n v="358.53"/>
    <n v="5865.34"/>
    <n v="1204.4500000000005"/>
  </r>
  <r>
    <s v="ORD0175"/>
    <x v="1"/>
    <x v="4"/>
    <x v="0"/>
    <s v="Online"/>
    <s v="High"/>
    <x v="174"/>
    <n v="474"/>
    <n v="439.56"/>
    <n v="130.24"/>
    <n v="208351.44"/>
    <n v="146617.68"/>
  </r>
  <r>
    <s v="ORD0176"/>
    <x v="3"/>
    <x v="4"/>
    <x v="3"/>
    <s v="Offline"/>
    <s v="Medium"/>
    <x v="175"/>
    <n v="108"/>
    <n v="162.01"/>
    <n v="51.84"/>
    <n v="17497.079999999998"/>
    <n v="11898.359999999999"/>
  </r>
  <r>
    <s v="ORD0177"/>
    <x v="0"/>
    <x v="1"/>
    <x v="0"/>
    <s v="Online"/>
    <s v="Low"/>
    <x v="176"/>
    <n v="406"/>
    <n v="435.11"/>
    <n v="190.79"/>
    <n v="176654.66"/>
    <n v="99193.920000000013"/>
  </r>
  <r>
    <s v="ORD0178"/>
    <x v="0"/>
    <x v="4"/>
    <x v="2"/>
    <s v="Online"/>
    <s v="Medium"/>
    <x v="177"/>
    <n v="498"/>
    <n v="190.96"/>
    <n v="47.35"/>
    <n v="95098.08"/>
    <n v="71517.780000000013"/>
  </r>
  <r>
    <s v="ORD0179"/>
    <x v="2"/>
    <x v="4"/>
    <x v="2"/>
    <s v="Offline"/>
    <s v="Low"/>
    <x v="178"/>
    <n v="48"/>
    <n v="151.94999999999999"/>
    <n v="195.43"/>
    <n v="7293.5999999999995"/>
    <n v="-2087.0400000000009"/>
  </r>
  <r>
    <s v="ORD0180"/>
    <x v="0"/>
    <x v="4"/>
    <x v="2"/>
    <s v="Online"/>
    <s v="High"/>
    <x v="179"/>
    <n v="280"/>
    <n v="326.29000000000002"/>
    <n v="368.28"/>
    <n v="91361.200000000012"/>
    <n v="-11757.199999999986"/>
  </r>
  <r>
    <s v="ORD0181"/>
    <x v="2"/>
    <x v="3"/>
    <x v="2"/>
    <s v="Online"/>
    <s v="Low"/>
    <x v="180"/>
    <n v="384"/>
    <n v="167.55"/>
    <n v="209.27"/>
    <n v="64339.200000000004"/>
    <n v="-16020.48"/>
  </r>
  <r>
    <s v="ORD0182"/>
    <x v="0"/>
    <x v="0"/>
    <x v="4"/>
    <s v="Online"/>
    <s v="Medium"/>
    <x v="181"/>
    <n v="294"/>
    <n v="316.95"/>
    <n v="247.37"/>
    <n v="93183.3"/>
    <n v="20456.519999999997"/>
  </r>
  <r>
    <s v="ORD0183"/>
    <x v="3"/>
    <x v="2"/>
    <x v="2"/>
    <s v="Online"/>
    <s v="High"/>
    <x v="182"/>
    <n v="166"/>
    <n v="306.87"/>
    <n v="64.34"/>
    <n v="50940.42"/>
    <n v="40259.980000000003"/>
  </r>
  <r>
    <s v="ORD0184"/>
    <x v="0"/>
    <x v="3"/>
    <x v="1"/>
    <s v="Online"/>
    <s v="Medium"/>
    <x v="183"/>
    <n v="84"/>
    <n v="283.89999999999998"/>
    <n v="19.41"/>
    <n v="23847.599999999999"/>
    <n v="22217.159999999996"/>
  </r>
  <r>
    <s v="ORD0185"/>
    <x v="2"/>
    <x v="4"/>
    <x v="1"/>
    <s v="Online"/>
    <s v="Medium"/>
    <x v="184"/>
    <n v="381"/>
    <n v="193.31"/>
    <n v="46.1"/>
    <n v="73651.11"/>
    <n v="56087.01"/>
  </r>
  <r>
    <s v="ORD0186"/>
    <x v="2"/>
    <x v="1"/>
    <x v="4"/>
    <s v="Offline"/>
    <s v="Low"/>
    <x v="185"/>
    <n v="297"/>
    <n v="276.51"/>
    <n v="240.22"/>
    <n v="82123.47"/>
    <n v="10778.129999999997"/>
  </r>
  <r>
    <s v="ORD0187"/>
    <x v="3"/>
    <x v="4"/>
    <x v="2"/>
    <s v="Offline"/>
    <s v="Medium"/>
    <x v="186"/>
    <n v="139"/>
    <n v="300.26"/>
    <n v="39.81"/>
    <n v="41736.14"/>
    <n v="36202.549999999996"/>
  </r>
  <r>
    <s v="ORD0188"/>
    <x v="0"/>
    <x v="0"/>
    <x v="2"/>
    <s v="Online"/>
    <s v="Low"/>
    <x v="187"/>
    <n v="184"/>
    <n v="275.12"/>
    <n v="151.65"/>
    <n v="50622.080000000002"/>
    <n v="22718.48"/>
  </r>
  <r>
    <s v="ORD0189"/>
    <x v="0"/>
    <x v="4"/>
    <x v="2"/>
    <s v="Online"/>
    <s v="High"/>
    <x v="188"/>
    <n v="471"/>
    <n v="224.99"/>
    <n v="220.94"/>
    <n v="105970.29000000001"/>
    <n v="1907.5500000000054"/>
  </r>
  <r>
    <s v="ORD0190"/>
    <x v="3"/>
    <x v="1"/>
    <x v="0"/>
    <s v="Offline"/>
    <s v="Low"/>
    <x v="189"/>
    <n v="93"/>
    <n v="12.26"/>
    <n v="156.68"/>
    <n v="1140.18"/>
    <n v="-13431.060000000001"/>
  </r>
  <r>
    <s v="ORD0191"/>
    <x v="0"/>
    <x v="0"/>
    <x v="3"/>
    <s v="Online"/>
    <s v="High"/>
    <x v="190"/>
    <n v="31"/>
    <n v="295.60000000000002"/>
    <n v="67.150000000000006"/>
    <n v="9163.6"/>
    <n v="7081.9500000000007"/>
  </r>
  <r>
    <s v="ORD0192"/>
    <x v="0"/>
    <x v="4"/>
    <x v="0"/>
    <s v="Online"/>
    <s v="Low"/>
    <x v="191"/>
    <n v="468"/>
    <n v="88.38"/>
    <n v="110.97"/>
    <n v="41361.839999999997"/>
    <n v="-10572.12"/>
  </r>
  <r>
    <s v="ORD0193"/>
    <x v="2"/>
    <x v="0"/>
    <x v="3"/>
    <s v="Online"/>
    <s v="Medium"/>
    <x v="192"/>
    <n v="36"/>
    <n v="323.08"/>
    <n v="371.47"/>
    <n v="11630.88"/>
    <n v="-1742.0400000000016"/>
  </r>
  <r>
    <s v="ORD0194"/>
    <x v="0"/>
    <x v="2"/>
    <x v="2"/>
    <s v="Offline"/>
    <s v="Low"/>
    <x v="193"/>
    <n v="204"/>
    <n v="380.88"/>
    <n v="271.04000000000002"/>
    <n v="77699.520000000004"/>
    <n v="22407.359999999993"/>
  </r>
  <r>
    <s v="ORD0195"/>
    <x v="0"/>
    <x v="2"/>
    <x v="2"/>
    <s v="Online"/>
    <s v="Low"/>
    <x v="194"/>
    <n v="346"/>
    <n v="252.72"/>
    <n v="199.43"/>
    <n v="87441.12"/>
    <n v="18438.339999999997"/>
  </r>
  <r>
    <s v="ORD0196"/>
    <x v="3"/>
    <x v="4"/>
    <x v="0"/>
    <s v="Offline"/>
    <s v="High"/>
    <x v="195"/>
    <n v="391"/>
    <n v="273.47000000000003"/>
    <n v="7.06"/>
    <n v="106926.77"/>
    <n v="104166.31000000001"/>
  </r>
  <r>
    <s v="ORD0197"/>
    <x v="3"/>
    <x v="0"/>
    <x v="0"/>
    <s v="Online"/>
    <s v="Medium"/>
    <x v="196"/>
    <n v="245"/>
    <n v="475.98"/>
    <n v="396.98"/>
    <n v="116615.1"/>
    <n v="19355"/>
  </r>
  <r>
    <s v="ORD0198"/>
    <x v="1"/>
    <x v="1"/>
    <x v="3"/>
    <s v="Offline"/>
    <s v="Low"/>
    <x v="197"/>
    <n v="449"/>
    <n v="424.35"/>
    <n v="269.24"/>
    <n v="190533.15000000002"/>
    <n v="69644.39"/>
  </r>
  <r>
    <s v="ORD0199"/>
    <x v="2"/>
    <x v="4"/>
    <x v="1"/>
    <s v="Offline"/>
    <s v="Medium"/>
    <x v="198"/>
    <n v="101"/>
    <n v="457.55"/>
    <n v="128.13999999999999"/>
    <n v="46212.55"/>
    <n v="33270.410000000003"/>
  </r>
  <r>
    <s v="ORD0200"/>
    <x v="0"/>
    <x v="2"/>
    <x v="3"/>
    <s v="Online"/>
    <s v="Low"/>
    <x v="199"/>
    <n v="255.90299999999999"/>
    <n v="407.81"/>
    <n v="351.95"/>
    <n v="104359.80243"/>
    <n v="14294.741580000004"/>
  </r>
  <r>
    <s v="ORD0201"/>
    <x v="0"/>
    <x v="2"/>
    <x v="0"/>
    <s v="Offline"/>
    <s v="Low"/>
    <x v="200"/>
    <n v="30"/>
    <n v="58.91"/>
    <n v="104.86"/>
    <n v="1767.3"/>
    <n v="-1378.5"/>
  </r>
  <r>
    <s v="ORD0202"/>
    <x v="1"/>
    <x v="4"/>
    <x v="0"/>
    <s v="Online"/>
    <s v="Medium"/>
    <x v="201"/>
    <n v="312"/>
    <n v="78.75"/>
    <n v="218.52"/>
    <n v="24570"/>
    <n v="-43608.240000000005"/>
  </r>
  <r>
    <s v="ORD0203"/>
    <x v="0"/>
    <x v="0"/>
    <x v="4"/>
    <s v="Offline"/>
    <s v="Low"/>
    <x v="202"/>
    <n v="473"/>
    <n v="265.68"/>
    <n v="255.16"/>
    <n v="125666.64"/>
    <n v="4975.9600000000046"/>
  </r>
  <r>
    <s v="ORD0204"/>
    <x v="2"/>
    <x v="2"/>
    <x v="0"/>
    <s v="Online"/>
    <s v="Medium"/>
    <x v="203"/>
    <n v="366"/>
    <n v="126.8"/>
    <n v="89.98"/>
    <n v="46408.799999999996"/>
    <n v="13476.119999999997"/>
  </r>
  <r>
    <s v="ORD0205"/>
    <x v="1"/>
    <x v="0"/>
    <x v="4"/>
    <s v="Online"/>
    <s v="Low"/>
    <x v="204"/>
    <n v="452"/>
    <n v="240.96"/>
    <n v="391.4"/>
    <n v="108913.92"/>
    <n v="-67998.87999999999"/>
  </r>
  <r>
    <s v="ORD0206"/>
    <x v="2"/>
    <x v="2"/>
    <x v="1"/>
    <s v="Offline"/>
    <s v="High"/>
    <x v="205"/>
    <n v="93"/>
    <n v="200.21"/>
    <n v="299.77999999999997"/>
    <n v="18619.530000000002"/>
    <n v="-9260.0099999999966"/>
  </r>
  <r>
    <s v="ORD0207"/>
    <x v="1"/>
    <x v="2"/>
    <x v="3"/>
    <s v="Online"/>
    <s v="Medium"/>
    <x v="206"/>
    <n v="271"/>
    <n v="276.95999999999998"/>
    <n v="224.01"/>
    <n v="75056.159999999989"/>
    <n v="14349.449999999997"/>
  </r>
  <r>
    <s v="ORD0208"/>
    <x v="1"/>
    <x v="3"/>
    <x v="3"/>
    <s v="Online"/>
    <s v="Low"/>
    <x v="207"/>
    <n v="156"/>
    <n v="374.7"/>
    <n v="73.88"/>
    <n v="58453.2"/>
    <n v="46927.92"/>
  </r>
  <r>
    <s v="ORD0209"/>
    <x v="3"/>
    <x v="2"/>
    <x v="4"/>
    <s v="Offline"/>
    <s v="Low"/>
    <x v="208"/>
    <n v="450"/>
    <n v="359.17"/>
    <n v="23.44"/>
    <n v="161626.5"/>
    <n v="151078.5"/>
  </r>
  <r>
    <s v="ORD0210"/>
    <x v="2"/>
    <x v="1"/>
    <x v="3"/>
    <s v="Online"/>
    <s v="High"/>
    <x v="209"/>
    <n v="462"/>
    <n v="263.01"/>
    <n v="129.38"/>
    <n v="121510.62"/>
    <n v="61737.06"/>
  </r>
  <r>
    <s v="ORD0211"/>
    <x v="0"/>
    <x v="4"/>
    <x v="0"/>
    <s v="Online"/>
    <s v="Medium"/>
    <x v="210"/>
    <n v="396"/>
    <n v="412.08"/>
    <n v="301.77"/>
    <n v="163183.67999999999"/>
    <n v="43682.76"/>
  </r>
  <r>
    <s v="ORD0212"/>
    <x v="0"/>
    <x v="4"/>
    <x v="2"/>
    <s v="Offline"/>
    <s v="Low"/>
    <x v="211"/>
    <n v="266"/>
    <n v="218.28"/>
    <n v="109.19"/>
    <n v="58062.48"/>
    <n v="29017.940000000002"/>
  </r>
  <r>
    <s v="ORD0213"/>
    <x v="2"/>
    <x v="0"/>
    <x v="4"/>
    <s v="Offline"/>
    <s v="High"/>
    <x v="212"/>
    <n v="67"/>
    <n v="448.87"/>
    <n v="216.74"/>
    <n v="30074.29"/>
    <n v="15552.71"/>
  </r>
  <r>
    <s v="ORD0214"/>
    <x v="0"/>
    <x v="2"/>
    <x v="3"/>
    <s v="Online"/>
    <s v="Low"/>
    <x v="213"/>
    <n v="389"/>
    <n v="40.28"/>
    <n v="291.72000000000003"/>
    <n v="15668.92"/>
    <n v="-97810.16"/>
  </r>
  <r>
    <s v="ORD0215"/>
    <x v="0"/>
    <x v="1"/>
    <x v="4"/>
    <s v="Online"/>
    <s v="Medium"/>
    <x v="214"/>
    <n v="431"/>
    <n v="477.56"/>
    <n v="44.96"/>
    <n v="205828.36000000002"/>
    <n v="186450.6"/>
  </r>
  <r>
    <s v="ORD0216"/>
    <x v="2"/>
    <x v="0"/>
    <x v="4"/>
    <s v="Offline"/>
    <s v="Low"/>
    <x v="215"/>
    <n v="24"/>
    <n v="329.07"/>
    <n v="274.75"/>
    <n v="7897.68"/>
    <n v="1303.6799999999998"/>
  </r>
  <r>
    <s v="ORD0217"/>
    <x v="1"/>
    <x v="3"/>
    <x v="2"/>
    <s v="Offline"/>
    <s v="Low"/>
    <x v="216"/>
    <n v="171"/>
    <n v="193.14"/>
    <n v="38.56"/>
    <n v="33026.939999999995"/>
    <n v="26433.179999999997"/>
  </r>
  <r>
    <s v="ORD0218"/>
    <x v="2"/>
    <x v="0"/>
    <x v="0"/>
    <s v="Online"/>
    <s v="Low"/>
    <x v="217"/>
    <n v="454"/>
    <n v="102.59"/>
    <n v="386.12"/>
    <n v="46575.86"/>
    <n v="-128722.61999999998"/>
  </r>
  <r>
    <s v="ORD0219"/>
    <x v="1"/>
    <x v="0"/>
    <x v="4"/>
    <s v="Offline"/>
    <s v="Low"/>
    <x v="218"/>
    <n v="172"/>
    <n v="242.2"/>
    <n v="196.38"/>
    <n v="41658.400000000001"/>
    <n v="7881.0399999999991"/>
  </r>
  <r>
    <s v="ORD0220"/>
    <x v="0"/>
    <x v="2"/>
    <x v="3"/>
    <s v="Online"/>
    <s v="High"/>
    <x v="219"/>
    <n v="329"/>
    <n v="101.31"/>
    <n v="61.97"/>
    <n v="33330.99"/>
    <n v="12942.86"/>
  </r>
  <r>
    <s v="ORD0221"/>
    <x v="0"/>
    <x v="3"/>
    <x v="1"/>
    <s v="Online"/>
    <s v="High"/>
    <x v="220"/>
    <n v="290"/>
    <n v="87.33"/>
    <n v="138.27000000000001"/>
    <n v="25325.7"/>
    <n v="-14772.600000000004"/>
  </r>
  <r>
    <s v="ORD0222"/>
    <x v="1"/>
    <x v="0"/>
    <x v="4"/>
    <s v="Online"/>
    <s v="Medium"/>
    <x v="221"/>
    <n v="289"/>
    <n v="310.58999999999997"/>
    <n v="166.54"/>
    <n v="89760.51"/>
    <n v="41630.449999999997"/>
  </r>
  <r>
    <s v="ORD0223"/>
    <x v="3"/>
    <x v="1"/>
    <x v="4"/>
    <s v="Online"/>
    <s v="High"/>
    <x v="222"/>
    <n v="21"/>
    <n v="263.93"/>
    <n v="303.76"/>
    <n v="5542.53"/>
    <n v="-836.42999999999961"/>
  </r>
  <r>
    <s v="ORD0224"/>
    <x v="1"/>
    <x v="1"/>
    <x v="2"/>
    <s v="Online"/>
    <s v="High"/>
    <x v="223"/>
    <n v="283"/>
    <n v="336.7"/>
    <n v="297.88"/>
    <n v="95286.099999999991"/>
    <n v="10986.059999999998"/>
  </r>
  <r>
    <s v="ORD0225"/>
    <x v="3"/>
    <x v="4"/>
    <x v="0"/>
    <s v="Offline"/>
    <s v="Medium"/>
    <x v="224"/>
    <n v="280"/>
    <n v="465.15"/>
    <n v="245.55"/>
    <n v="130242"/>
    <n v="61487.999999999993"/>
  </r>
  <r>
    <s v="ORD0226"/>
    <x v="3"/>
    <x v="3"/>
    <x v="1"/>
    <s v="Offline"/>
    <s v="High"/>
    <x v="225"/>
    <n v="217"/>
    <n v="268.47000000000003"/>
    <n v="44.16"/>
    <n v="58257.990000000005"/>
    <n v="48675.270000000004"/>
  </r>
  <r>
    <s v="ORD0227"/>
    <x v="2"/>
    <x v="3"/>
    <x v="3"/>
    <s v="Offline"/>
    <s v="High"/>
    <x v="226"/>
    <n v="36"/>
    <n v="292.56"/>
    <n v="62.32"/>
    <n v="10532.16"/>
    <n v="8288.64"/>
  </r>
  <r>
    <s v="ORD0228"/>
    <x v="3"/>
    <x v="4"/>
    <x v="1"/>
    <s v="Offline"/>
    <s v="Medium"/>
    <x v="227"/>
    <n v="255.90299999999999"/>
    <n v="49.37"/>
    <n v="39.32"/>
    <n v="12633.93111"/>
    <n v="2571.8251499999992"/>
  </r>
  <r>
    <s v="ORD0229"/>
    <x v="2"/>
    <x v="0"/>
    <x v="3"/>
    <s v="Online"/>
    <s v="Medium"/>
    <x v="228"/>
    <n v="69"/>
    <n v="360.23"/>
    <n v="231.71"/>
    <n v="24855.870000000003"/>
    <n v="8867.880000000001"/>
  </r>
  <r>
    <s v="ORD0230"/>
    <x v="2"/>
    <x v="3"/>
    <x v="0"/>
    <s v="Online"/>
    <s v="Medium"/>
    <x v="229"/>
    <n v="439"/>
    <n v="202.95"/>
    <n v="351.1"/>
    <n v="89095.049999999988"/>
    <n v="-65037.850000000013"/>
  </r>
  <r>
    <s v="ORD0231"/>
    <x v="3"/>
    <x v="1"/>
    <x v="3"/>
    <s v="Online"/>
    <s v="Low"/>
    <x v="230"/>
    <n v="482"/>
    <n v="488.48"/>
    <n v="174.65"/>
    <n v="235447.36000000002"/>
    <n v="151266.06000000003"/>
  </r>
  <r>
    <s v="ORD0232"/>
    <x v="1"/>
    <x v="1"/>
    <x v="2"/>
    <s v="Online"/>
    <s v="Low"/>
    <x v="231"/>
    <n v="154"/>
    <n v="412.47"/>
    <n v="66.02"/>
    <n v="63520.380000000005"/>
    <n v="53353.30000000001"/>
  </r>
  <r>
    <s v="ORD0233"/>
    <x v="1"/>
    <x v="2"/>
    <x v="2"/>
    <s v="Offline"/>
    <s v="Medium"/>
    <x v="232"/>
    <n v="102"/>
    <n v="263.63"/>
    <n v="224.1"/>
    <n v="26890.26"/>
    <n v="4032.06"/>
  </r>
  <r>
    <s v="ORD0234"/>
    <x v="1"/>
    <x v="3"/>
    <x v="2"/>
    <s v="Online"/>
    <s v="Medium"/>
    <x v="233"/>
    <n v="318"/>
    <n v="66"/>
    <n v="325.08"/>
    <n v="20988"/>
    <n v="-82387.439999999988"/>
  </r>
  <r>
    <s v="ORD0235"/>
    <x v="1"/>
    <x v="0"/>
    <x v="2"/>
    <s v="Online"/>
    <s v="Medium"/>
    <x v="234"/>
    <n v="17"/>
    <n v="430.41"/>
    <n v="297.2"/>
    <n v="7316.97"/>
    <n v="2264.5700000000006"/>
  </r>
  <r>
    <s v="ORD0236"/>
    <x v="1"/>
    <x v="4"/>
    <x v="1"/>
    <s v="Offline"/>
    <s v="Low"/>
    <x v="235"/>
    <n v="88"/>
    <n v="400.89"/>
    <n v="352.82"/>
    <n v="35278.32"/>
    <n v="4230.16"/>
  </r>
  <r>
    <s v="ORD0237"/>
    <x v="3"/>
    <x v="4"/>
    <x v="0"/>
    <s v="Offline"/>
    <s v="Low"/>
    <x v="236"/>
    <n v="36"/>
    <n v="96.37"/>
    <n v="112.61"/>
    <n v="3469.32"/>
    <n v="-584.63999999999987"/>
  </r>
  <r>
    <s v="ORD0238"/>
    <x v="3"/>
    <x v="0"/>
    <x v="3"/>
    <s v="Offline"/>
    <s v="High"/>
    <x v="237"/>
    <n v="183"/>
    <n v="151.16"/>
    <n v="79.19"/>
    <n v="27662.28"/>
    <n v="13170.51"/>
  </r>
  <r>
    <s v="ORD0239"/>
    <x v="0"/>
    <x v="2"/>
    <x v="3"/>
    <s v="Offline"/>
    <s v="High"/>
    <x v="238"/>
    <n v="59"/>
    <n v="397.74"/>
    <n v="352.17"/>
    <n v="23466.66"/>
    <n v="2688.6299999999997"/>
  </r>
  <r>
    <s v="ORD0240"/>
    <x v="1"/>
    <x v="4"/>
    <x v="2"/>
    <s v="Online"/>
    <s v="Medium"/>
    <x v="239"/>
    <n v="208"/>
    <n v="96.69"/>
    <n v="263.70999999999998"/>
    <n v="20111.52"/>
    <n v="-34740.159999999996"/>
  </r>
  <r>
    <s v="ORD0241"/>
    <x v="3"/>
    <x v="3"/>
    <x v="2"/>
    <s v="Online"/>
    <s v="Low"/>
    <x v="240"/>
    <n v="396"/>
    <n v="459.29"/>
    <n v="125.75"/>
    <n v="181878.84"/>
    <n v="132081.84"/>
  </r>
  <r>
    <s v="ORD0242"/>
    <x v="0"/>
    <x v="2"/>
    <x v="4"/>
    <s v="Offline"/>
    <s v="Low"/>
    <x v="241"/>
    <n v="358"/>
    <n v="215.14"/>
    <n v="297.45"/>
    <n v="77020.12"/>
    <n v="-29466.98"/>
  </r>
  <r>
    <s v="ORD0243"/>
    <x v="1"/>
    <x v="3"/>
    <x v="0"/>
    <s v="Online"/>
    <s v="Low"/>
    <x v="242"/>
    <n v="457"/>
    <n v="48.08"/>
    <n v="326.42"/>
    <n v="21972.559999999998"/>
    <n v="-127201.38000000002"/>
  </r>
  <r>
    <s v="ORD0244"/>
    <x v="2"/>
    <x v="1"/>
    <x v="1"/>
    <s v="Online"/>
    <s v="Medium"/>
    <x v="243"/>
    <n v="437"/>
    <n v="408.8"/>
    <n v="246.76"/>
    <n v="178645.6"/>
    <n v="70811.48000000001"/>
  </r>
  <r>
    <s v="ORD0245"/>
    <x v="0"/>
    <x v="2"/>
    <x v="3"/>
    <s v="Online"/>
    <s v="High"/>
    <x v="244"/>
    <n v="190"/>
    <n v="189.89"/>
    <n v="275.77999999999997"/>
    <n v="36079.1"/>
    <n v="-16319.099999999997"/>
  </r>
  <r>
    <s v="ORD0246"/>
    <x v="3"/>
    <x v="4"/>
    <x v="4"/>
    <s v="Offline"/>
    <s v="Medium"/>
    <x v="245"/>
    <n v="33"/>
    <n v="265.62"/>
    <n v="151.35"/>
    <n v="8765.4600000000009"/>
    <n v="3770.9100000000003"/>
  </r>
  <r>
    <s v="ORD0247"/>
    <x v="2"/>
    <x v="2"/>
    <x v="4"/>
    <s v="Online"/>
    <s v="High"/>
    <x v="246"/>
    <n v="325"/>
    <n v="60.59"/>
    <n v="216.4"/>
    <n v="19691.75"/>
    <n v="-50638.25"/>
  </r>
  <r>
    <s v="ORD0248"/>
    <x v="2"/>
    <x v="2"/>
    <x v="3"/>
    <s v="Offline"/>
    <s v="High"/>
    <x v="247"/>
    <n v="387"/>
    <n v="6.28"/>
    <n v="210.62"/>
    <n v="2430.36"/>
    <n v="-79079.58"/>
  </r>
  <r>
    <s v="ORD0249"/>
    <x v="2"/>
    <x v="2"/>
    <x v="1"/>
    <s v="Online"/>
    <s v="Medium"/>
    <x v="248"/>
    <n v="396"/>
    <n v="320.8"/>
    <n v="339.52"/>
    <n v="127036.8"/>
    <n v="-7413.1199999999881"/>
  </r>
  <r>
    <s v="ORD0250"/>
    <x v="0"/>
    <x v="2"/>
    <x v="4"/>
    <s v="Online"/>
    <s v="High"/>
    <x v="249"/>
    <n v="413"/>
    <n v="260.01"/>
    <n v="336.31"/>
    <n v="107384.12999999999"/>
    <n v="-31511.900000000005"/>
  </r>
  <r>
    <s v="ORD0251"/>
    <x v="3"/>
    <x v="3"/>
    <x v="4"/>
    <s v="Online"/>
    <s v="High"/>
    <x v="250"/>
    <n v="255.90299999999999"/>
    <n v="298.8"/>
    <n v="333.41"/>
    <n v="76463.816399999996"/>
    <n v="-8856.8028300000024"/>
  </r>
  <r>
    <s v="ORD0252"/>
    <x v="2"/>
    <x v="1"/>
    <x v="0"/>
    <s v="Offline"/>
    <s v="Low"/>
    <x v="251"/>
    <n v="24"/>
    <n v="397.9"/>
    <n v="6.39"/>
    <n v="9549.5999999999985"/>
    <n v="9396.24"/>
  </r>
  <r>
    <s v="ORD0253"/>
    <x v="1"/>
    <x v="0"/>
    <x v="0"/>
    <s v="Online"/>
    <s v="High"/>
    <x v="252"/>
    <n v="162"/>
    <n v="325.07"/>
    <n v="300.32"/>
    <n v="52661.34"/>
    <n v="4009.5"/>
  </r>
  <r>
    <s v="ORD0254"/>
    <x v="2"/>
    <x v="2"/>
    <x v="4"/>
    <s v="Offline"/>
    <s v="Medium"/>
    <x v="253"/>
    <n v="231"/>
    <n v="91.51"/>
    <n v="303.95"/>
    <n v="21138.81"/>
    <n v="-49073.64"/>
  </r>
  <r>
    <s v="ORD0255"/>
    <x v="2"/>
    <x v="4"/>
    <x v="1"/>
    <s v="Offline"/>
    <s v="Medium"/>
    <x v="254"/>
    <n v="215"/>
    <n v="183.58"/>
    <n v="271.99"/>
    <n v="39469.700000000004"/>
    <n v="-19008.149999999998"/>
  </r>
  <r>
    <s v="ORD0256"/>
    <x v="0"/>
    <x v="2"/>
    <x v="3"/>
    <s v="Offline"/>
    <s v="High"/>
    <x v="255"/>
    <n v="464"/>
    <n v="453.42"/>
    <n v="302.99"/>
    <n v="210386.88"/>
    <n v="69799.520000000004"/>
  </r>
  <r>
    <s v="ORD0257"/>
    <x v="0"/>
    <x v="4"/>
    <x v="2"/>
    <s v="Online"/>
    <s v="Low"/>
    <x v="256"/>
    <n v="282"/>
    <n v="249.64500000000001"/>
    <n v="337.1"/>
    <n v="70399.89"/>
    <n v="-24662.310000000005"/>
  </r>
  <r>
    <s v="ORD0258"/>
    <x v="3"/>
    <x v="3"/>
    <x v="4"/>
    <s v="Online"/>
    <s v="Low"/>
    <x v="257"/>
    <n v="391"/>
    <n v="280.54000000000002"/>
    <n v="189.19"/>
    <n v="109691.14000000001"/>
    <n v="35717.850000000006"/>
  </r>
  <r>
    <s v="ORD0259"/>
    <x v="1"/>
    <x v="4"/>
    <x v="0"/>
    <s v="Online"/>
    <s v="High"/>
    <x v="258"/>
    <n v="245"/>
    <n v="131.54"/>
    <n v="201.82"/>
    <n v="32227.3"/>
    <n v="-17218.599999999999"/>
  </r>
  <r>
    <s v="ORD0260"/>
    <x v="0"/>
    <x v="0"/>
    <x v="3"/>
    <s v="Online"/>
    <s v="High"/>
    <x v="259"/>
    <n v="349"/>
    <n v="154.52000000000001"/>
    <n v="51.64"/>
    <n v="53927.48"/>
    <n v="35905.120000000003"/>
  </r>
  <r>
    <s v="ORD0261"/>
    <x v="2"/>
    <x v="1"/>
    <x v="1"/>
    <s v="Offline"/>
    <s v="Medium"/>
    <x v="260"/>
    <n v="237"/>
    <n v="249.64500000000001"/>
    <n v="155.38"/>
    <n v="59165.865000000005"/>
    <n v="22340.805000000004"/>
  </r>
  <r>
    <s v="ORD0262"/>
    <x v="3"/>
    <x v="4"/>
    <x v="3"/>
    <s v="Offline"/>
    <s v="High"/>
    <x v="261"/>
    <n v="18"/>
    <n v="426.33"/>
    <n v="258.06"/>
    <n v="7673.94"/>
    <n v="3028.8599999999997"/>
  </r>
  <r>
    <s v="ORD0263"/>
    <x v="2"/>
    <x v="4"/>
    <x v="4"/>
    <s v="Offline"/>
    <s v="Low"/>
    <x v="262"/>
    <n v="175"/>
    <n v="337.36"/>
    <n v="312.60000000000002"/>
    <n v="59038"/>
    <n v="4332.9999999999982"/>
  </r>
  <r>
    <s v="ORD0264"/>
    <x v="2"/>
    <x v="1"/>
    <x v="0"/>
    <s v="Online"/>
    <s v="High"/>
    <x v="263"/>
    <n v="441"/>
    <n v="405.72"/>
    <n v="88.45"/>
    <n v="178922.52000000002"/>
    <n v="139916.07"/>
  </r>
  <r>
    <s v="ORD0265"/>
    <x v="0"/>
    <x v="0"/>
    <x v="2"/>
    <s v="Offline"/>
    <s v="Medium"/>
    <x v="264"/>
    <n v="453"/>
    <n v="384.49"/>
    <n v="56.85"/>
    <n v="174173.97"/>
    <n v="148420.91999999998"/>
  </r>
  <r>
    <s v="ORD0266"/>
    <x v="3"/>
    <x v="2"/>
    <x v="3"/>
    <s v="Online"/>
    <s v="Medium"/>
    <x v="265"/>
    <n v="328"/>
    <n v="79.099999999999994"/>
    <n v="265.89"/>
    <n v="25944.799999999999"/>
    <n v="-61267.119999999995"/>
  </r>
  <r>
    <s v="ORD0267"/>
    <x v="1"/>
    <x v="4"/>
    <x v="4"/>
    <s v="Offline"/>
    <s v="Medium"/>
    <x v="266"/>
    <n v="223"/>
    <n v="214.85"/>
    <n v="2.75"/>
    <n v="47911.549999999996"/>
    <n v="47298.299999999996"/>
  </r>
  <r>
    <s v="ORD0268"/>
    <x v="1"/>
    <x v="1"/>
    <x v="0"/>
    <s v="Online"/>
    <s v="Medium"/>
    <x v="267"/>
    <n v="126"/>
    <n v="80.73"/>
    <n v="72.989999999999995"/>
    <n v="10171.980000000001"/>
    <n v="975.24000000000115"/>
  </r>
  <r>
    <s v="ORD0269"/>
    <x v="0"/>
    <x v="3"/>
    <x v="1"/>
    <s v="Online"/>
    <s v="Medium"/>
    <x v="268"/>
    <n v="395"/>
    <n v="121.44"/>
    <n v="13.57"/>
    <n v="47968.799999999996"/>
    <n v="42608.65"/>
  </r>
  <r>
    <s v="ORD0270"/>
    <x v="0"/>
    <x v="1"/>
    <x v="3"/>
    <s v="Offline"/>
    <s v="High"/>
    <x v="269"/>
    <n v="353"/>
    <n v="435.28"/>
    <n v="68.42"/>
    <n v="153653.84"/>
    <n v="129501.57999999999"/>
  </r>
  <r>
    <s v="ORD0271"/>
    <x v="3"/>
    <x v="3"/>
    <x v="3"/>
    <s v="Offline"/>
    <s v="High"/>
    <x v="270"/>
    <n v="81"/>
    <n v="239.08"/>
    <n v="74.17"/>
    <n v="19365.48"/>
    <n v="13357.710000000003"/>
  </r>
  <r>
    <s v="ORD0272"/>
    <x v="1"/>
    <x v="0"/>
    <x v="2"/>
    <s v="Offline"/>
    <s v="High"/>
    <x v="271"/>
    <n v="404"/>
    <n v="270"/>
    <n v="156.29"/>
    <n v="109080"/>
    <n v="45938.840000000004"/>
  </r>
  <r>
    <s v="ORD0273"/>
    <x v="1"/>
    <x v="2"/>
    <x v="2"/>
    <s v="Offline"/>
    <s v="High"/>
    <x v="272"/>
    <n v="73"/>
    <n v="93.33"/>
    <n v="162.13"/>
    <n v="6813.09"/>
    <n v="-5022.3999999999996"/>
  </r>
  <r>
    <s v="ORD0274"/>
    <x v="1"/>
    <x v="1"/>
    <x v="0"/>
    <s v="Online"/>
    <s v="Medium"/>
    <x v="273"/>
    <n v="214"/>
    <n v="159.57"/>
    <n v="349.96"/>
    <n v="34147.979999999996"/>
    <n v="-40743.46"/>
  </r>
  <r>
    <s v="ORD0275"/>
    <x v="2"/>
    <x v="4"/>
    <x v="0"/>
    <s v="Offline"/>
    <s v="Low"/>
    <x v="274"/>
    <n v="218"/>
    <n v="118.97"/>
    <n v="205.02"/>
    <n v="25935.46"/>
    <n v="-18758.900000000001"/>
  </r>
  <r>
    <s v="ORD0276"/>
    <x v="1"/>
    <x v="0"/>
    <x v="4"/>
    <s v="Offline"/>
    <s v="High"/>
    <x v="275"/>
    <n v="81"/>
    <n v="107.06"/>
    <n v="289.92"/>
    <n v="8671.86"/>
    <n v="-14811.660000000002"/>
  </r>
  <r>
    <s v="ORD0277"/>
    <x v="2"/>
    <x v="1"/>
    <x v="4"/>
    <s v="Offline"/>
    <s v="Low"/>
    <x v="276"/>
    <n v="286"/>
    <n v="320.79000000000002"/>
    <n v="43.45"/>
    <n v="91745.94"/>
    <n v="79319.240000000005"/>
  </r>
  <r>
    <s v="ORD0278"/>
    <x v="3"/>
    <x v="4"/>
    <x v="0"/>
    <s v="Online"/>
    <s v="High"/>
    <x v="277"/>
    <n v="283"/>
    <n v="132.16"/>
    <n v="91.72"/>
    <n v="37401.279999999999"/>
    <n v="11444.519999999999"/>
  </r>
  <r>
    <s v="ORD0279"/>
    <x v="2"/>
    <x v="1"/>
    <x v="0"/>
    <s v="Online"/>
    <s v="High"/>
    <x v="278"/>
    <n v="487"/>
    <n v="317.85000000000002"/>
    <n v="281.77"/>
    <n v="154792.95000000001"/>
    <n v="17570.960000000021"/>
  </r>
  <r>
    <s v="ORD0280"/>
    <x v="3"/>
    <x v="3"/>
    <x v="1"/>
    <s v="Offline"/>
    <s v="Low"/>
    <x v="279"/>
    <n v="329"/>
    <n v="33.94"/>
    <n v="23.02"/>
    <n v="11166.259999999998"/>
    <n v="3592.6799999999994"/>
  </r>
  <r>
    <s v="ORD0281"/>
    <x v="1"/>
    <x v="1"/>
    <x v="2"/>
    <s v="Online"/>
    <s v="Medium"/>
    <x v="280"/>
    <n v="347"/>
    <n v="75.180000000000007"/>
    <n v="195.67"/>
    <n v="26087.460000000003"/>
    <n v="-41810.029999999992"/>
  </r>
  <r>
    <s v="ORD0282"/>
    <x v="1"/>
    <x v="1"/>
    <x v="4"/>
    <s v="Offline"/>
    <s v="High"/>
    <x v="281"/>
    <n v="375"/>
    <n v="140.9"/>
    <n v="240.55"/>
    <n v="52837.5"/>
    <n v="-37368.75"/>
  </r>
  <r>
    <s v="ORD0283"/>
    <x v="3"/>
    <x v="1"/>
    <x v="2"/>
    <s v="Online"/>
    <s v="High"/>
    <x v="282"/>
    <n v="104"/>
    <n v="300.54000000000002"/>
    <n v="241.65"/>
    <n v="31256.160000000003"/>
    <n v="6124.5600000000013"/>
  </r>
  <r>
    <s v="ORD0284"/>
    <x v="0"/>
    <x v="0"/>
    <x v="0"/>
    <s v="Online"/>
    <s v="High"/>
    <x v="283"/>
    <n v="175"/>
    <n v="339.54"/>
    <n v="11.13"/>
    <n v="59419.5"/>
    <n v="57471.750000000007"/>
  </r>
  <r>
    <s v="ORD0285"/>
    <x v="3"/>
    <x v="1"/>
    <x v="0"/>
    <s v="Online"/>
    <s v="Low"/>
    <x v="284"/>
    <n v="41"/>
    <n v="224.14"/>
    <n v="130.19999999999999"/>
    <n v="9189.74"/>
    <n v="3851.54"/>
  </r>
  <r>
    <s v="ORD0286"/>
    <x v="0"/>
    <x v="4"/>
    <x v="1"/>
    <s v="Online"/>
    <s v="Medium"/>
    <x v="285"/>
    <n v="20"/>
    <n v="225.67"/>
    <n v="255.32"/>
    <n v="4513.3999999999996"/>
    <n v="-593.00000000000011"/>
  </r>
  <r>
    <s v="ORD0287"/>
    <x v="2"/>
    <x v="3"/>
    <x v="3"/>
    <s v="Offline"/>
    <s v="Low"/>
    <x v="286"/>
    <n v="310"/>
    <n v="363.64"/>
    <n v="61.3"/>
    <n v="112728.4"/>
    <n v="93725.4"/>
  </r>
  <r>
    <s v="ORD0288"/>
    <x v="2"/>
    <x v="3"/>
    <x v="1"/>
    <s v="Offline"/>
    <s v="Low"/>
    <x v="287"/>
    <n v="226"/>
    <n v="249.64500000000001"/>
    <n v="278.77999999999997"/>
    <n v="56419.770000000004"/>
    <n v="-6584.5099999999911"/>
  </r>
  <r>
    <s v="ORD0289"/>
    <x v="2"/>
    <x v="1"/>
    <x v="1"/>
    <s v="Offline"/>
    <s v="Medium"/>
    <x v="288"/>
    <n v="255.90299999999999"/>
    <n v="173.84"/>
    <n v="298.88"/>
    <n v="44486.177519999997"/>
    <n v="-31998.111119999998"/>
  </r>
  <r>
    <s v="ORD0290"/>
    <x v="1"/>
    <x v="0"/>
    <x v="2"/>
    <s v="Online"/>
    <s v="Low"/>
    <x v="289"/>
    <n v="111"/>
    <n v="410.26"/>
    <n v="392.82"/>
    <n v="45538.86"/>
    <n v="1935.8399999999997"/>
  </r>
  <r>
    <s v="ORD0291"/>
    <x v="2"/>
    <x v="0"/>
    <x v="1"/>
    <s v="Offline"/>
    <s v="Medium"/>
    <x v="290"/>
    <n v="434"/>
    <n v="303.58999999999997"/>
    <n v="85.52"/>
    <n v="131758.06"/>
    <n v="94642.37999999999"/>
  </r>
  <r>
    <s v="ORD0292"/>
    <x v="0"/>
    <x v="4"/>
    <x v="4"/>
    <s v="Offline"/>
    <s v="High"/>
    <x v="291"/>
    <n v="401"/>
    <n v="171.93"/>
    <n v="330.4"/>
    <n v="68943.930000000008"/>
    <n v="-63546.469999999987"/>
  </r>
  <r>
    <s v="ORD0293"/>
    <x v="2"/>
    <x v="1"/>
    <x v="2"/>
    <s v="Offline"/>
    <s v="Medium"/>
    <x v="292"/>
    <n v="276"/>
    <n v="453.23"/>
    <n v="209.08"/>
    <n v="125091.48000000001"/>
    <n v="67385.400000000009"/>
  </r>
  <r>
    <s v="ORD0294"/>
    <x v="3"/>
    <x v="3"/>
    <x v="4"/>
    <s v="Online"/>
    <s v="High"/>
    <x v="293"/>
    <n v="255.90299999999999"/>
    <n v="387.45"/>
    <n v="150.63999999999999"/>
    <n v="99149.61735"/>
    <n v="60600.389429999996"/>
  </r>
  <r>
    <s v="ORD0295"/>
    <x v="3"/>
    <x v="0"/>
    <x v="3"/>
    <s v="Online"/>
    <s v="Low"/>
    <x v="294"/>
    <n v="188"/>
    <n v="136.12"/>
    <n v="50.71"/>
    <n v="25590.560000000001"/>
    <n v="16057.08"/>
  </r>
  <r>
    <s v="ORD0296"/>
    <x v="1"/>
    <x v="1"/>
    <x v="2"/>
    <s v="Online"/>
    <s v="Low"/>
    <x v="295"/>
    <n v="97"/>
    <n v="324.42"/>
    <n v="294.73"/>
    <n v="31468.74"/>
    <n v="2879.93"/>
  </r>
  <r>
    <s v="ORD0297"/>
    <x v="3"/>
    <x v="0"/>
    <x v="3"/>
    <s v="Offline"/>
    <s v="High"/>
    <x v="296"/>
    <n v="50"/>
    <n v="299.89999999999998"/>
    <n v="95.87"/>
    <n v="14994.999999999998"/>
    <n v="10201.499999999998"/>
  </r>
  <r>
    <s v="ORD0298"/>
    <x v="0"/>
    <x v="0"/>
    <x v="2"/>
    <s v="Offline"/>
    <s v="Low"/>
    <x v="297"/>
    <n v="410"/>
    <n v="203.59"/>
    <n v="149.83000000000001"/>
    <n v="83471.899999999994"/>
    <n v="22041.599999999995"/>
  </r>
  <r>
    <s v="ORD0299"/>
    <x v="2"/>
    <x v="3"/>
    <x v="0"/>
    <s v="Offline"/>
    <s v="Medium"/>
    <x v="298"/>
    <n v="85"/>
    <n v="186.64"/>
    <n v="26.89"/>
    <n v="15864.4"/>
    <n v="13578.75"/>
  </r>
  <r>
    <s v="ORD0300"/>
    <x v="1"/>
    <x v="2"/>
    <x v="1"/>
    <s v="Online"/>
    <s v="High"/>
    <x v="299"/>
    <n v="386"/>
    <n v="175.06"/>
    <n v="320.94"/>
    <n v="67573.16"/>
    <n v="-56309.68"/>
  </r>
  <r>
    <s v="ORD0301"/>
    <x v="2"/>
    <x v="4"/>
    <x v="0"/>
    <s v="Online"/>
    <s v="Low"/>
    <x v="300"/>
    <n v="55"/>
    <n v="310.49"/>
    <n v="307.10000000000002"/>
    <n v="17076.95"/>
    <n v="186.44999999999925"/>
  </r>
  <r>
    <s v="ORD0302"/>
    <x v="2"/>
    <x v="4"/>
    <x v="3"/>
    <s v="Offline"/>
    <s v="High"/>
    <x v="301"/>
    <n v="169"/>
    <n v="223.99"/>
    <n v="293.98"/>
    <n v="37854.310000000005"/>
    <n v="-11828.310000000001"/>
  </r>
  <r>
    <s v="ORD0303"/>
    <x v="0"/>
    <x v="3"/>
    <x v="1"/>
    <s v="Online"/>
    <s v="Medium"/>
    <x v="302"/>
    <n v="472"/>
    <n v="416.77"/>
    <n v="121.18"/>
    <n v="196715.44"/>
    <n v="139518.47999999998"/>
  </r>
  <r>
    <s v="ORD0304"/>
    <x v="3"/>
    <x v="0"/>
    <x v="2"/>
    <s v="Online"/>
    <s v="Medium"/>
    <x v="303"/>
    <n v="89"/>
    <n v="336.45"/>
    <n v="71.05"/>
    <n v="29944.05"/>
    <n v="23620.6"/>
  </r>
  <r>
    <s v="ORD0305"/>
    <x v="3"/>
    <x v="1"/>
    <x v="1"/>
    <s v="Online"/>
    <s v="Low"/>
    <x v="304"/>
    <n v="319"/>
    <n v="39.619999999999997"/>
    <n v="255.75"/>
    <n v="12638.779999999999"/>
    <n v="-68945.47"/>
  </r>
  <r>
    <s v="ORD0306"/>
    <x v="2"/>
    <x v="0"/>
    <x v="0"/>
    <s v="Online"/>
    <s v="Medium"/>
    <x v="305"/>
    <n v="95"/>
    <n v="321.88"/>
    <n v="199.47"/>
    <n v="30578.6"/>
    <n v="11628.949999999999"/>
  </r>
  <r>
    <s v="ORD0307"/>
    <x v="1"/>
    <x v="3"/>
    <x v="0"/>
    <s v="Offline"/>
    <s v="High"/>
    <x v="306"/>
    <n v="101"/>
    <n v="139.22"/>
    <n v="72.94"/>
    <n v="14061.22"/>
    <n v="6694.28"/>
  </r>
  <r>
    <s v="ORD0308"/>
    <x v="3"/>
    <x v="4"/>
    <x v="0"/>
    <s v="Online"/>
    <s v="Medium"/>
    <x v="307"/>
    <n v="157"/>
    <n v="249.64500000000001"/>
    <n v="274.99"/>
    <n v="39194.264999999999"/>
    <n v="-3979.165"/>
  </r>
  <r>
    <s v="ORD0309"/>
    <x v="1"/>
    <x v="0"/>
    <x v="1"/>
    <s v="Online"/>
    <s v="High"/>
    <x v="308"/>
    <n v="170"/>
    <n v="341.67"/>
    <n v="396.47"/>
    <n v="58083.9"/>
    <n v="-9316.0000000000018"/>
  </r>
  <r>
    <s v="ORD0310"/>
    <x v="3"/>
    <x v="4"/>
    <x v="4"/>
    <s v="Online"/>
    <s v="High"/>
    <x v="309"/>
    <n v="211"/>
    <n v="119.26"/>
    <n v="299.39"/>
    <n v="25163.86"/>
    <n v="-38007.43"/>
  </r>
  <r>
    <s v="ORD0311"/>
    <x v="1"/>
    <x v="1"/>
    <x v="3"/>
    <s v="Online"/>
    <s v="Medium"/>
    <x v="310"/>
    <n v="433"/>
    <n v="231.15"/>
    <n v="296.51"/>
    <n v="100087.95"/>
    <n v="-28300.879999999994"/>
  </r>
  <r>
    <s v="ORD0312"/>
    <x v="0"/>
    <x v="4"/>
    <x v="0"/>
    <s v="Offline"/>
    <s v="Low"/>
    <x v="311"/>
    <n v="425"/>
    <n v="99.21"/>
    <n v="380.22"/>
    <n v="42164.25"/>
    <n v="-119429.25000000001"/>
  </r>
  <r>
    <s v="ORD0313"/>
    <x v="1"/>
    <x v="4"/>
    <x v="2"/>
    <s v="Offline"/>
    <s v="Medium"/>
    <x v="312"/>
    <n v="251"/>
    <n v="30.91"/>
    <n v="82.77"/>
    <n v="7758.41"/>
    <n v="-13016.86"/>
  </r>
  <r>
    <s v="ORD0314"/>
    <x v="0"/>
    <x v="2"/>
    <x v="1"/>
    <s v="Online"/>
    <s v="High"/>
    <x v="313"/>
    <n v="255.90299999999999"/>
    <n v="192.35"/>
    <n v="227.09"/>
    <n v="49222.942049999998"/>
    <n v="-8890.0702200000014"/>
  </r>
  <r>
    <s v="ORD0315"/>
    <x v="0"/>
    <x v="2"/>
    <x v="0"/>
    <s v="Online"/>
    <s v="High"/>
    <x v="314"/>
    <n v="11"/>
    <n v="184.66"/>
    <n v="391.9"/>
    <n v="2031.26"/>
    <n v="-2279.64"/>
  </r>
  <r>
    <s v="ORD0316"/>
    <x v="1"/>
    <x v="2"/>
    <x v="2"/>
    <s v="Online"/>
    <s v="Medium"/>
    <x v="315"/>
    <n v="234"/>
    <n v="497.76"/>
    <n v="67.790000000000006"/>
    <n v="116475.84"/>
    <n v="100612.98"/>
  </r>
  <r>
    <s v="ORD0317"/>
    <x v="0"/>
    <x v="4"/>
    <x v="2"/>
    <s v="Online"/>
    <s v="Low"/>
    <x v="316"/>
    <n v="255.90299999999999"/>
    <n v="225.94"/>
    <n v="280.7"/>
    <n v="57818.723819999999"/>
    <n v="-14013.248279999998"/>
  </r>
  <r>
    <s v="ORD0318"/>
    <x v="2"/>
    <x v="3"/>
    <x v="4"/>
    <s v="Online"/>
    <s v="Low"/>
    <x v="317"/>
    <n v="242"/>
    <n v="170.12"/>
    <n v="235.15"/>
    <n v="41169.040000000001"/>
    <n v="-15737.26"/>
  </r>
  <r>
    <s v="ORD0319"/>
    <x v="0"/>
    <x v="4"/>
    <x v="3"/>
    <s v="Online"/>
    <s v="High"/>
    <x v="318"/>
    <n v="470"/>
    <n v="292.33999999999997"/>
    <n v="235.42"/>
    <n v="137399.79999999999"/>
    <n v="26752.399999999994"/>
  </r>
  <r>
    <s v="ORD0320"/>
    <x v="3"/>
    <x v="3"/>
    <x v="3"/>
    <s v="Offline"/>
    <s v="High"/>
    <x v="319"/>
    <n v="423"/>
    <n v="48.94"/>
    <n v="279.67"/>
    <n v="20701.62"/>
    <n v="-97598.790000000008"/>
  </r>
  <r>
    <s v="ORD0321"/>
    <x v="1"/>
    <x v="3"/>
    <x v="0"/>
    <s v="Online"/>
    <s v="Low"/>
    <x v="320"/>
    <n v="426"/>
    <n v="481.02"/>
    <n v="371.99"/>
    <n v="204914.52"/>
    <n v="46446.779999999992"/>
  </r>
  <r>
    <s v="ORD0322"/>
    <x v="2"/>
    <x v="2"/>
    <x v="3"/>
    <s v="Offline"/>
    <s v="Medium"/>
    <x v="321"/>
    <n v="86"/>
    <n v="319.31"/>
    <n v="313.47000000000003"/>
    <n v="27460.66"/>
    <n v="502.23999999999785"/>
  </r>
  <r>
    <s v="ORD0323"/>
    <x v="1"/>
    <x v="0"/>
    <x v="1"/>
    <s v="Offline"/>
    <s v="High"/>
    <x v="322"/>
    <n v="125"/>
    <n v="378.64"/>
    <n v="24.34"/>
    <n v="47330"/>
    <n v="44287.5"/>
  </r>
  <r>
    <s v="ORD0324"/>
    <x v="3"/>
    <x v="1"/>
    <x v="0"/>
    <s v="Online"/>
    <s v="High"/>
    <x v="323"/>
    <n v="163"/>
    <n v="89.39"/>
    <n v="341.39"/>
    <n v="14570.57"/>
    <n v="-41076"/>
  </r>
  <r>
    <s v="ORD0325"/>
    <x v="3"/>
    <x v="2"/>
    <x v="0"/>
    <s v="Offline"/>
    <s v="Low"/>
    <x v="324"/>
    <n v="415"/>
    <n v="207.69"/>
    <n v="91.77"/>
    <n v="86191.35"/>
    <n v="48106.8"/>
  </r>
  <r>
    <s v="ORD0326"/>
    <x v="3"/>
    <x v="2"/>
    <x v="3"/>
    <s v="Offline"/>
    <s v="Medium"/>
    <x v="325"/>
    <n v="112"/>
    <n v="214.23"/>
    <n v="152.01"/>
    <n v="23993.759999999998"/>
    <n v="6968.6399999999994"/>
  </r>
  <r>
    <s v="ORD0327"/>
    <x v="0"/>
    <x v="0"/>
    <x v="1"/>
    <s v="Offline"/>
    <s v="Low"/>
    <x v="326"/>
    <n v="203"/>
    <n v="411.79"/>
    <n v="185.77"/>
    <n v="83593.37000000001"/>
    <n v="45882.060000000005"/>
  </r>
  <r>
    <s v="ORD0328"/>
    <x v="0"/>
    <x v="1"/>
    <x v="4"/>
    <s v="Offline"/>
    <s v="Medium"/>
    <x v="327"/>
    <n v="255.90299999999999"/>
    <n v="5.61"/>
    <n v="193.4"/>
    <n v="1435.61583"/>
    <n v="-48056.024369999999"/>
  </r>
  <r>
    <s v="ORD0329"/>
    <x v="1"/>
    <x v="4"/>
    <x v="0"/>
    <s v="Offline"/>
    <s v="Medium"/>
    <x v="328"/>
    <n v="368"/>
    <n v="153.91999999999999"/>
    <n v="175.2"/>
    <n v="56642.559999999998"/>
    <n v="-7831.0400000000009"/>
  </r>
  <r>
    <s v="ORD0330"/>
    <x v="1"/>
    <x v="4"/>
    <x v="4"/>
    <s v="Offline"/>
    <s v="Medium"/>
    <x v="329"/>
    <n v="99"/>
    <n v="490.71"/>
    <n v="375.07"/>
    <n v="48580.29"/>
    <n v="11448.359999999999"/>
  </r>
  <r>
    <s v="ORD0331"/>
    <x v="2"/>
    <x v="2"/>
    <x v="4"/>
    <s v="Online"/>
    <s v="High"/>
    <x v="330"/>
    <n v="183"/>
    <n v="240.07"/>
    <n v="283"/>
    <n v="43932.81"/>
    <n v="-7856.1900000000014"/>
  </r>
  <r>
    <s v="ORD0332"/>
    <x v="1"/>
    <x v="1"/>
    <x v="4"/>
    <s v="Offline"/>
    <s v="Low"/>
    <x v="331"/>
    <n v="131"/>
    <n v="194.35"/>
    <n v="253.21"/>
    <n v="25459.85"/>
    <n v="-7710.6600000000017"/>
  </r>
  <r>
    <s v="ORD0333"/>
    <x v="1"/>
    <x v="2"/>
    <x v="2"/>
    <s v="Offline"/>
    <s v="Low"/>
    <x v="332"/>
    <n v="152"/>
    <n v="64.319999999999993"/>
    <n v="21.84"/>
    <n v="9776.64"/>
    <n v="6456.9599999999982"/>
  </r>
  <r>
    <s v="ORD0334"/>
    <x v="0"/>
    <x v="3"/>
    <x v="2"/>
    <s v="Offline"/>
    <s v="Medium"/>
    <x v="333"/>
    <n v="491"/>
    <n v="487.21"/>
    <n v="361.76"/>
    <n v="239220.11"/>
    <n v="61595.95"/>
  </r>
  <r>
    <s v="ORD0335"/>
    <x v="3"/>
    <x v="2"/>
    <x v="4"/>
    <s v="Online"/>
    <s v="High"/>
    <x v="334"/>
    <n v="115"/>
    <n v="14.91"/>
    <n v="363.94"/>
    <n v="1714.65"/>
    <n v="-40138.449999999997"/>
  </r>
  <r>
    <s v="ORD0336"/>
    <x v="1"/>
    <x v="2"/>
    <x v="0"/>
    <s v="Offline"/>
    <s v="High"/>
    <x v="335"/>
    <n v="384"/>
    <n v="369.9"/>
    <n v="312.52"/>
    <n v="142041.59999999998"/>
    <n v="22033.919999999998"/>
  </r>
  <r>
    <s v="ORD0337"/>
    <x v="2"/>
    <x v="4"/>
    <x v="1"/>
    <s v="Online"/>
    <s v="Low"/>
    <x v="336"/>
    <n v="437"/>
    <n v="385.46"/>
    <n v="4.8"/>
    <n v="168446.02"/>
    <n v="166348.41999999998"/>
  </r>
  <r>
    <s v="ORD0338"/>
    <x v="0"/>
    <x v="4"/>
    <x v="1"/>
    <s v="Offline"/>
    <s v="High"/>
    <x v="337"/>
    <n v="314"/>
    <n v="125.61"/>
    <n v="24.8"/>
    <n v="39441.54"/>
    <n v="31654.34"/>
  </r>
  <r>
    <s v="ORD0339"/>
    <x v="1"/>
    <x v="4"/>
    <x v="3"/>
    <s v="Online"/>
    <s v="High"/>
    <x v="338"/>
    <n v="369"/>
    <n v="337.42"/>
    <n v="91.64"/>
    <n v="124507.98000000001"/>
    <n v="90692.82"/>
  </r>
  <r>
    <s v="ORD0340"/>
    <x v="1"/>
    <x v="3"/>
    <x v="0"/>
    <s v="Online"/>
    <s v="Medium"/>
    <x v="339"/>
    <n v="468"/>
    <n v="51"/>
    <n v="54.28"/>
    <n v="23868"/>
    <n v="-1535.0400000000004"/>
  </r>
  <r>
    <s v="ORD0341"/>
    <x v="0"/>
    <x v="4"/>
    <x v="2"/>
    <s v="Offline"/>
    <s v="High"/>
    <x v="340"/>
    <n v="326"/>
    <n v="132.24"/>
    <n v="160.74"/>
    <n v="43110.240000000005"/>
    <n v="-9291"/>
  </r>
  <r>
    <s v="ORD0342"/>
    <x v="1"/>
    <x v="1"/>
    <x v="4"/>
    <s v="Offline"/>
    <s v="Medium"/>
    <x v="341"/>
    <n v="460"/>
    <n v="395.01"/>
    <n v="369.2"/>
    <n v="181704.6"/>
    <n v="11872.6"/>
  </r>
  <r>
    <s v="ORD0343"/>
    <x v="0"/>
    <x v="0"/>
    <x v="3"/>
    <s v="Online"/>
    <s v="Low"/>
    <x v="342"/>
    <n v="132"/>
    <n v="433.02"/>
    <n v="189.88"/>
    <n v="57158.64"/>
    <n v="32094.48"/>
  </r>
  <r>
    <s v="ORD0344"/>
    <x v="3"/>
    <x v="1"/>
    <x v="1"/>
    <s v="Offline"/>
    <s v="High"/>
    <x v="343"/>
    <n v="399"/>
    <n v="306.2"/>
    <n v="7.33"/>
    <n v="122173.79999999999"/>
    <n v="119249.13"/>
  </r>
  <r>
    <s v="ORD0345"/>
    <x v="0"/>
    <x v="1"/>
    <x v="2"/>
    <s v="Online"/>
    <s v="Low"/>
    <x v="344"/>
    <n v="18"/>
    <n v="255.89"/>
    <n v="114.53"/>
    <n v="4606.0199999999995"/>
    <n v="2544.4799999999996"/>
  </r>
  <r>
    <s v="ORD0346"/>
    <x v="0"/>
    <x v="4"/>
    <x v="2"/>
    <s v="Online"/>
    <s v="Low"/>
    <x v="345"/>
    <n v="271"/>
    <n v="83.86"/>
    <n v="19.75"/>
    <n v="22726.06"/>
    <n v="17373.810000000001"/>
  </r>
  <r>
    <s v="ORD0347"/>
    <x v="1"/>
    <x v="0"/>
    <x v="4"/>
    <s v="Online"/>
    <s v="High"/>
    <x v="346"/>
    <n v="82"/>
    <n v="36.24"/>
    <n v="16.440000000000001"/>
    <n v="2971.6800000000003"/>
    <n v="1623.6000000000001"/>
  </r>
  <r>
    <s v="ORD0348"/>
    <x v="1"/>
    <x v="0"/>
    <x v="1"/>
    <s v="Online"/>
    <s v="High"/>
    <x v="347"/>
    <n v="368"/>
    <n v="63.24"/>
    <n v="111.74"/>
    <n v="23272.32"/>
    <n v="-17847.999999999996"/>
  </r>
  <r>
    <s v="ORD0349"/>
    <x v="1"/>
    <x v="0"/>
    <x v="0"/>
    <s v="Online"/>
    <s v="Low"/>
    <x v="348"/>
    <n v="232"/>
    <n v="117.54"/>
    <n v="111.69"/>
    <n v="27269.280000000002"/>
    <n v="1357.2000000000021"/>
  </r>
  <r>
    <s v="ORD0350"/>
    <x v="0"/>
    <x v="3"/>
    <x v="2"/>
    <s v="Offline"/>
    <s v="High"/>
    <x v="349"/>
    <n v="425"/>
    <n v="174.13"/>
    <n v="315.27999999999997"/>
    <n v="74005.25"/>
    <n v="-59988.749999999993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n v="255.90299999999999"/>
    <x v="1"/>
    <x v="5"/>
    <x v="0"/>
    <n v="255.90299999999999"/>
    <n v="255.90299999999999"/>
    <x v="350"/>
    <n v="255.90299999999999"/>
    <n v="249.64500000000001"/>
    <n v="255.90299999999999"/>
    <n v="63884.904435000004"/>
    <n v="-1601.4409739999951"/>
  </r>
  <r>
    <m/>
    <x v="4"/>
    <x v="6"/>
    <x v="5"/>
    <m/>
    <m/>
    <x v="35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6A1BC-2CAC-46B6-9747-529BFAAA1C5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15">
    <pivotField showAll="0"/>
    <pivotField axis="axisCol" showAll="0">
      <items count="6">
        <item x="0"/>
        <item x="2"/>
        <item x="3"/>
        <item x="1"/>
        <item x="4"/>
        <item t="default"/>
      </items>
    </pivotField>
    <pivotField showAll="0">
      <items count="8">
        <item x="5"/>
        <item x="4"/>
        <item x="0"/>
        <item x="1"/>
        <item x="3"/>
        <item x="2"/>
        <item x="6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>
      <items count="353">
        <item x="3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DD988-F737-4311-9C6C-6B4EF032B57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A3:B9" firstHeaderRow="1" firstDataRow="1" firstDataCol="1"/>
  <pivotFields count="15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>
      <items count="353">
        <item x="3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11" subtotal="average" baseField="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G17" zoomScale="124" workbookViewId="0">
      <selection activeCell="O24" sqref="O24"/>
    </sheetView>
  </sheetViews>
  <sheetFormatPr defaultColWidth="14.44140625" defaultRowHeight="15" customHeight="1" x14ac:dyDescent="0.3"/>
  <cols>
    <col min="1" max="4" width="8.6640625" customWidth="1"/>
    <col min="5" max="6" width="13.109375" customWidth="1"/>
    <col min="7" max="7" width="18.88671875" customWidth="1"/>
    <col min="8" max="8" width="10" customWidth="1"/>
    <col min="9" max="9" width="9.6640625" customWidth="1"/>
    <col min="10" max="10" width="9.109375" customWidth="1"/>
    <col min="11" max="11" width="13.109375" bestFit="1" customWidth="1"/>
    <col min="12" max="12" width="12.6640625" bestFit="1" customWidth="1"/>
    <col min="13" max="14" width="8.6640625" customWidth="1"/>
    <col min="15" max="15" width="12" bestFit="1" customWidth="1"/>
    <col min="16" max="20" width="8.66406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390</v>
      </c>
      <c r="L1" s="11" t="s">
        <v>392</v>
      </c>
    </row>
    <row r="2" spans="1:16" ht="14.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  <c r="K2">
        <f>H2*I2</f>
        <v>35936.199999999997</v>
      </c>
      <c r="L2">
        <f>(I2-J2)*H2</f>
        <v>-159.8000000000016</v>
      </c>
    </row>
    <row r="3" spans="1:16" ht="14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  <c r="K3">
        <f t="shared" ref="K3:K66" si="0">H3*I3</f>
        <v>159560.72</v>
      </c>
      <c r="L3">
        <f t="shared" ref="L3:L66" si="1">(I3-J3)*H3</f>
        <v>111875.28000000001</v>
      </c>
    </row>
    <row r="4" spans="1:16" ht="14.4" x14ac:dyDescent="0.3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  <c r="K4">
        <f t="shared" si="0"/>
        <v>84835.26</v>
      </c>
      <c r="L4">
        <f t="shared" si="1"/>
        <v>67447.199999999997</v>
      </c>
      <c r="M4" t="s">
        <v>389</v>
      </c>
    </row>
    <row r="5" spans="1:16" ht="14.4" x14ac:dyDescent="0.3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  <c r="K5">
        <f t="shared" si="0"/>
        <v>5661.5399999999991</v>
      </c>
      <c r="L5">
        <f t="shared" si="1"/>
        <v>1973.8799999999994</v>
      </c>
      <c r="M5">
        <f>AVERAGE(H:H)</f>
        <v>255.9029428571429</v>
      </c>
    </row>
    <row r="6" spans="1:16" ht="14.4" x14ac:dyDescent="0.3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  <c r="K6">
        <f t="shared" si="0"/>
        <v>185396.88</v>
      </c>
      <c r="L6">
        <f t="shared" si="1"/>
        <v>29419.76000000002</v>
      </c>
    </row>
    <row r="7" spans="1:16" ht="14.4" x14ac:dyDescent="0.3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  <c r="K7">
        <f t="shared" si="0"/>
        <v>15095.43</v>
      </c>
      <c r="L7">
        <f t="shared" si="1"/>
        <v>9542.75</v>
      </c>
      <c r="M7">
        <f>AVERAGE(I:I)</f>
        <v>249.6452000000001</v>
      </c>
    </row>
    <row r="8" spans="1:16" ht="14.4" x14ac:dyDescent="0.3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K8">
        <f t="shared" si="0"/>
        <v>8322.52</v>
      </c>
      <c r="L8">
        <f t="shared" si="1"/>
        <v>-4497.8599999999997</v>
      </c>
    </row>
    <row r="9" spans="1:16" ht="14.4" x14ac:dyDescent="0.3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K9">
        <f t="shared" si="0"/>
        <v>89669.7</v>
      </c>
      <c r="L9">
        <f t="shared" si="1"/>
        <v>-4719.5999999999894</v>
      </c>
    </row>
    <row r="10" spans="1:16" ht="14.4" x14ac:dyDescent="0.3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K10">
        <f t="shared" si="0"/>
        <v>112610.96</v>
      </c>
      <c r="L10">
        <f t="shared" si="1"/>
        <v>85793.44</v>
      </c>
    </row>
    <row r="11" spans="1:16" ht="14.4" x14ac:dyDescent="0.3">
      <c r="A11" s="2" t="s">
        <v>35</v>
      </c>
      <c r="B11" s="7" t="s">
        <v>17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K11">
        <f t="shared" si="0"/>
        <v>135939</v>
      </c>
      <c r="L11">
        <f t="shared" si="1"/>
        <v>-6413.8799999999992</v>
      </c>
    </row>
    <row r="12" spans="1:16" ht="14.4" x14ac:dyDescent="0.3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K12">
        <f t="shared" si="0"/>
        <v>92355</v>
      </c>
      <c r="L12">
        <f t="shared" si="1"/>
        <v>38142.85</v>
      </c>
      <c r="M12" t="s">
        <v>391</v>
      </c>
    </row>
    <row r="13" spans="1:16" ht="14.4" x14ac:dyDescent="0.3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K13">
        <f t="shared" si="0"/>
        <v>116907.05</v>
      </c>
      <c r="L13">
        <f t="shared" si="1"/>
        <v>7479.5500000000056</v>
      </c>
    </row>
    <row r="14" spans="1:16" ht="14.4" x14ac:dyDescent="0.3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K14">
        <f t="shared" si="0"/>
        <v>3347.61</v>
      </c>
      <c r="L14">
        <f t="shared" si="1"/>
        <v>-17618.509999999995</v>
      </c>
      <c r="M14">
        <f>_xlfn.XLOOKUP(P14,A:A,K:K,)</f>
        <v>15849.300000000001</v>
      </c>
      <c r="P14" t="s">
        <v>151</v>
      </c>
    </row>
    <row r="15" spans="1:16" ht="14.4" x14ac:dyDescent="0.3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K15">
        <f t="shared" si="0"/>
        <v>40676.960000000006</v>
      </c>
      <c r="L15">
        <f t="shared" si="1"/>
        <v>-54412.160000000003</v>
      </c>
    </row>
    <row r="16" spans="1:16" ht="14.4" x14ac:dyDescent="0.3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K16">
        <f t="shared" si="0"/>
        <v>10439.17</v>
      </c>
      <c r="L16">
        <f t="shared" si="1"/>
        <v>2915.41</v>
      </c>
    </row>
    <row r="17" spans="1:17" ht="14.4" x14ac:dyDescent="0.3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K17">
        <f t="shared" si="0"/>
        <v>122597.23000000001</v>
      </c>
      <c r="L17">
        <f t="shared" si="1"/>
        <v>49532.260000000009</v>
      </c>
    </row>
    <row r="18" spans="1:17" ht="14.4" x14ac:dyDescent="0.3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K18">
        <f t="shared" si="0"/>
        <v>77654.2</v>
      </c>
      <c r="L18">
        <f t="shared" si="1"/>
        <v>12155.000000000007</v>
      </c>
    </row>
    <row r="19" spans="1:17" ht="14.4" x14ac:dyDescent="0.3">
      <c r="A19" s="2" t="s">
        <v>44</v>
      </c>
      <c r="B19" s="7" t="s">
        <v>17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K19">
        <f t="shared" si="0"/>
        <v>130106.2</v>
      </c>
      <c r="L19">
        <f t="shared" si="1"/>
        <v>22498.939999999988</v>
      </c>
      <c r="O19" t="s">
        <v>399</v>
      </c>
      <c r="Q19" t="s">
        <v>401</v>
      </c>
    </row>
    <row r="20" spans="1:17" ht="14.4" x14ac:dyDescent="0.3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  <c r="K20">
        <f t="shared" si="0"/>
        <v>44814.400000000001</v>
      </c>
      <c r="L20">
        <f t="shared" si="1"/>
        <v>5237.3500000000004</v>
      </c>
      <c r="O20">
        <f>SUM(K:K)</f>
        <v>22459473.116579995</v>
      </c>
      <c r="Q20">
        <f>SUM(H:H)</f>
        <v>89566.030000000013</v>
      </c>
    </row>
    <row r="21" spans="1:17" ht="15.75" customHeight="1" x14ac:dyDescent="0.3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  <c r="K21">
        <f t="shared" si="0"/>
        <v>30669.210000000003</v>
      </c>
      <c r="L21">
        <f t="shared" si="1"/>
        <v>2045.3400000000024</v>
      </c>
    </row>
    <row r="22" spans="1:17" ht="15.75" customHeight="1" x14ac:dyDescent="0.3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  <c r="K22">
        <f t="shared" si="0"/>
        <v>68990.460000000006</v>
      </c>
      <c r="L22">
        <f t="shared" si="1"/>
        <v>45057.930000000008</v>
      </c>
    </row>
    <row r="23" spans="1:17" ht="15.75" customHeight="1" x14ac:dyDescent="0.3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  <c r="K23">
        <f t="shared" si="0"/>
        <v>110073.62000000001</v>
      </c>
      <c r="L23">
        <f t="shared" si="1"/>
        <v>70084.31</v>
      </c>
    </row>
    <row r="24" spans="1:17" ht="15.75" customHeight="1" x14ac:dyDescent="0.3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  <c r="K24">
        <f t="shared" si="0"/>
        <v>17177.32</v>
      </c>
      <c r="L24">
        <f t="shared" si="1"/>
        <v>2095.7600000000002</v>
      </c>
      <c r="Q24" t="s">
        <v>402</v>
      </c>
    </row>
    <row r="25" spans="1:17" ht="15.75" customHeight="1" x14ac:dyDescent="0.3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  <c r="K25">
        <f t="shared" si="0"/>
        <v>141882</v>
      </c>
      <c r="L25">
        <f t="shared" si="1"/>
        <v>99511.75</v>
      </c>
      <c r="O25" t="s">
        <v>400</v>
      </c>
      <c r="Q25">
        <f>AVERAGE(H:H)</f>
        <v>255.9029428571429</v>
      </c>
    </row>
    <row r="26" spans="1:17" ht="15.75" customHeight="1" x14ac:dyDescent="0.3">
      <c r="A26" s="2" t="s">
        <v>53</v>
      </c>
      <c r="B26" s="2" t="s">
        <v>17</v>
      </c>
      <c r="C26" s="2" t="s">
        <v>18</v>
      </c>
      <c r="D26" s="7" t="s">
        <v>13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  <c r="K26">
        <f t="shared" si="0"/>
        <v>40637.1</v>
      </c>
      <c r="L26">
        <f t="shared" si="1"/>
        <v>38581.75</v>
      </c>
      <c r="O26">
        <f>COUNTA(A:A)-1</f>
        <v>350</v>
      </c>
    </row>
    <row r="27" spans="1:17" ht="15.75" customHeight="1" x14ac:dyDescent="0.3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  <c r="K27">
        <f t="shared" si="0"/>
        <v>12506.699999999999</v>
      </c>
      <c r="L27">
        <f t="shared" si="1"/>
        <v>-17202</v>
      </c>
    </row>
    <row r="28" spans="1:17" ht="15.75" customHeight="1" x14ac:dyDescent="0.3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  <c r="K28">
        <f t="shared" si="0"/>
        <v>24913.79</v>
      </c>
      <c r="L28">
        <f t="shared" si="1"/>
        <v>-1749.2099999999996</v>
      </c>
    </row>
    <row r="29" spans="1:17" ht="15.75" customHeight="1" x14ac:dyDescent="0.3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I29" s="10">
        <v>249.64500000000001</v>
      </c>
      <c r="J29" s="2">
        <v>383.01</v>
      </c>
      <c r="K29">
        <f t="shared" si="0"/>
        <v>115335.99</v>
      </c>
      <c r="L29">
        <f t="shared" si="1"/>
        <v>-61614.62999999999</v>
      </c>
    </row>
    <row r="30" spans="1:17" ht="15.75" customHeight="1" x14ac:dyDescent="0.3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  <c r="K30">
        <f t="shared" si="0"/>
        <v>154333.9</v>
      </c>
      <c r="L30">
        <f t="shared" si="1"/>
        <v>46201.000000000007</v>
      </c>
    </row>
    <row r="31" spans="1:17" ht="15.75" customHeight="1" x14ac:dyDescent="0.3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  <c r="K31">
        <f t="shared" si="0"/>
        <v>15255</v>
      </c>
      <c r="L31">
        <f t="shared" si="1"/>
        <v>-18335.7</v>
      </c>
    </row>
    <row r="32" spans="1:17" ht="15.75" customHeight="1" x14ac:dyDescent="0.3">
      <c r="A32" s="2" t="s">
        <v>59</v>
      </c>
      <c r="B32" s="7" t="s">
        <v>17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  <c r="K32">
        <f t="shared" si="0"/>
        <v>33644.189999999995</v>
      </c>
      <c r="L32">
        <f t="shared" si="1"/>
        <v>5241.0299999999979</v>
      </c>
    </row>
    <row r="33" spans="1:12" ht="15.75" customHeight="1" x14ac:dyDescent="0.3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  <c r="K33">
        <f t="shared" si="0"/>
        <v>12209.33</v>
      </c>
      <c r="L33">
        <f t="shared" si="1"/>
        <v>2763.1099999999992</v>
      </c>
    </row>
    <row r="34" spans="1:12" ht="15.75" customHeight="1" x14ac:dyDescent="0.3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  <c r="K34">
        <f t="shared" si="0"/>
        <v>14061.6</v>
      </c>
      <c r="L34">
        <f t="shared" si="1"/>
        <v>-25265</v>
      </c>
    </row>
    <row r="35" spans="1:12" ht="15.75" customHeight="1" x14ac:dyDescent="0.3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  <c r="K35">
        <f t="shared" si="0"/>
        <v>47674.130000000005</v>
      </c>
      <c r="L35">
        <f t="shared" si="1"/>
        <v>-9024.0899999999983</v>
      </c>
    </row>
    <row r="36" spans="1:12" ht="15.75" customHeight="1" x14ac:dyDescent="0.3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  <c r="K36">
        <f t="shared" si="0"/>
        <v>37336.86</v>
      </c>
      <c r="L36">
        <f t="shared" si="1"/>
        <v>18567.060000000001</v>
      </c>
    </row>
    <row r="37" spans="1:12" ht="15.75" customHeight="1" x14ac:dyDescent="0.3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  <c r="K37">
        <f t="shared" si="0"/>
        <v>75935.38</v>
      </c>
      <c r="L37">
        <f t="shared" si="1"/>
        <v>-52769.19999999999</v>
      </c>
    </row>
    <row r="38" spans="1:12" ht="15.75" customHeight="1" x14ac:dyDescent="0.3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I38" s="10">
        <v>249.64500000000001</v>
      </c>
      <c r="J38" s="2">
        <v>332.07</v>
      </c>
      <c r="K38">
        <f t="shared" si="0"/>
        <v>30955.98</v>
      </c>
      <c r="L38">
        <f t="shared" si="1"/>
        <v>-10220.699999999997</v>
      </c>
    </row>
    <row r="39" spans="1:12" ht="15.75" customHeight="1" x14ac:dyDescent="0.3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  <c r="K39">
        <f t="shared" si="0"/>
        <v>82098.899999999994</v>
      </c>
      <c r="L39">
        <f t="shared" si="1"/>
        <v>57064.799999999996</v>
      </c>
    </row>
    <row r="40" spans="1:12" ht="15.75" customHeight="1" x14ac:dyDescent="0.3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H40" s="10">
        <v>255.90299999999999</v>
      </c>
      <c r="I40" s="2">
        <v>91.23</v>
      </c>
      <c r="J40" s="2">
        <v>381.21</v>
      </c>
      <c r="K40">
        <f t="shared" si="0"/>
        <v>23346.03069</v>
      </c>
      <c r="L40">
        <f t="shared" si="1"/>
        <v>-74206.751939999987</v>
      </c>
    </row>
    <row r="41" spans="1:12" ht="15.75" customHeight="1" x14ac:dyDescent="0.3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  <c r="K41">
        <f t="shared" si="0"/>
        <v>31238.35</v>
      </c>
      <c r="L41">
        <f t="shared" si="1"/>
        <v>9760.3999999999978</v>
      </c>
    </row>
    <row r="42" spans="1:12" ht="15.75" customHeight="1" x14ac:dyDescent="0.3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  <c r="K42">
        <f t="shared" si="0"/>
        <v>10332.630000000001</v>
      </c>
      <c r="L42">
        <f t="shared" si="1"/>
        <v>-2759.68</v>
      </c>
    </row>
    <row r="43" spans="1:12" ht="15.75" customHeight="1" x14ac:dyDescent="0.3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  <c r="K43">
        <f t="shared" si="0"/>
        <v>153872.07</v>
      </c>
      <c r="L43">
        <f t="shared" si="1"/>
        <v>135555.09</v>
      </c>
    </row>
    <row r="44" spans="1:12" ht="15.75" customHeight="1" x14ac:dyDescent="0.3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  <c r="K44">
        <f t="shared" si="0"/>
        <v>15495.76</v>
      </c>
      <c r="L44">
        <f t="shared" si="1"/>
        <v>6071.1</v>
      </c>
    </row>
    <row r="45" spans="1:12" ht="15.75" customHeight="1" x14ac:dyDescent="0.3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  <c r="K45">
        <f t="shared" si="0"/>
        <v>131364</v>
      </c>
      <c r="L45">
        <f t="shared" si="1"/>
        <v>58942.92</v>
      </c>
    </row>
    <row r="46" spans="1:12" ht="15.75" customHeight="1" x14ac:dyDescent="0.3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I46" s="10">
        <v>249.64500000000001</v>
      </c>
      <c r="J46" s="2">
        <v>94.56</v>
      </c>
      <c r="K46">
        <f t="shared" si="0"/>
        <v>117333.15000000001</v>
      </c>
      <c r="L46">
        <f t="shared" si="1"/>
        <v>72889.95</v>
      </c>
    </row>
    <row r="47" spans="1:12" ht="15.75" customHeight="1" x14ac:dyDescent="0.3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  <c r="K47">
        <f t="shared" si="0"/>
        <v>62705.4</v>
      </c>
      <c r="L47">
        <f t="shared" si="1"/>
        <v>54383.22</v>
      </c>
    </row>
    <row r="48" spans="1:12" ht="15.75" customHeight="1" x14ac:dyDescent="0.3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  <c r="K48">
        <f t="shared" si="0"/>
        <v>81631.14</v>
      </c>
      <c r="L48">
        <f t="shared" si="1"/>
        <v>-11088.579999999994</v>
      </c>
    </row>
    <row r="49" spans="1:12" ht="15.75" customHeight="1" x14ac:dyDescent="0.3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  <c r="K49">
        <f t="shared" si="0"/>
        <v>70305.53</v>
      </c>
      <c r="L49">
        <f t="shared" si="1"/>
        <v>56601.060000000005</v>
      </c>
    </row>
    <row r="50" spans="1:12" ht="15.75" customHeight="1" x14ac:dyDescent="0.3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  <c r="K50">
        <f t="shared" si="0"/>
        <v>66620.25</v>
      </c>
      <c r="L50">
        <f t="shared" si="1"/>
        <v>12950.999999999995</v>
      </c>
    </row>
    <row r="51" spans="1:12" ht="15.75" customHeight="1" x14ac:dyDescent="0.3">
      <c r="A51" s="2" t="s">
        <v>78</v>
      </c>
      <c r="B51" s="7" t="s">
        <v>17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K51">
        <f t="shared" si="0"/>
        <v>3049.8</v>
      </c>
      <c r="L51">
        <f t="shared" si="1"/>
        <v>-55404.959999999992</v>
      </c>
    </row>
    <row r="52" spans="1:12" ht="15.75" customHeight="1" x14ac:dyDescent="0.3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  <c r="K52">
        <f t="shared" si="0"/>
        <v>69269.100000000006</v>
      </c>
      <c r="L52">
        <f t="shared" si="1"/>
        <v>-51718.95</v>
      </c>
    </row>
    <row r="53" spans="1:12" ht="15.75" customHeight="1" x14ac:dyDescent="0.3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  <c r="K53">
        <f t="shared" si="0"/>
        <v>53995.62</v>
      </c>
      <c r="L53">
        <f t="shared" si="1"/>
        <v>34074.269999999997</v>
      </c>
    </row>
    <row r="54" spans="1:12" ht="15.75" customHeight="1" x14ac:dyDescent="0.3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  <c r="K54">
        <f t="shared" si="0"/>
        <v>30387.87</v>
      </c>
      <c r="L54">
        <f t="shared" si="1"/>
        <v>-4041.0099999999993</v>
      </c>
    </row>
    <row r="55" spans="1:12" ht="15.75" customHeight="1" x14ac:dyDescent="0.3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  <c r="K55">
        <f t="shared" si="0"/>
        <v>143898.62</v>
      </c>
      <c r="L55">
        <f t="shared" si="1"/>
        <v>143127.56</v>
      </c>
    </row>
    <row r="56" spans="1:12" ht="15.75" customHeight="1" x14ac:dyDescent="0.3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  <c r="K56">
        <f t="shared" si="0"/>
        <v>22387.64</v>
      </c>
      <c r="L56">
        <f t="shared" si="1"/>
        <v>21772.92</v>
      </c>
    </row>
    <row r="57" spans="1:12" ht="15.75" customHeight="1" x14ac:dyDescent="0.3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  <c r="K57">
        <f t="shared" si="0"/>
        <v>33735.480000000003</v>
      </c>
      <c r="L57">
        <f t="shared" si="1"/>
        <v>17291.72</v>
      </c>
    </row>
    <row r="58" spans="1:12" ht="15.75" customHeight="1" x14ac:dyDescent="0.3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  <c r="K58">
        <f t="shared" si="0"/>
        <v>45544.63</v>
      </c>
      <c r="L58">
        <f t="shared" si="1"/>
        <v>-525.84000000000219</v>
      </c>
    </row>
    <row r="59" spans="1:12" ht="15.75" customHeight="1" x14ac:dyDescent="0.3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  <c r="K59">
        <f t="shared" si="0"/>
        <v>32534.84</v>
      </c>
      <c r="L59">
        <f t="shared" si="1"/>
        <v>4800.66</v>
      </c>
    </row>
    <row r="60" spans="1:12" ht="15.75" customHeight="1" x14ac:dyDescent="0.3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  <c r="K60">
        <f t="shared" si="0"/>
        <v>54210</v>
      </c>
      <c r="L60">
        <f t="shared" si="1"/>
        <v>-8798.7000000000007</v>
      </c>
    </row>
    <row r="61" spans="1:12" ht="15.75" customHeight="1" x14ac:dyDescent="0.3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  <c r="K61">
        <f t="shared" si="0"/>
        <v>87635.760000000009</v>
      </c>
      <c r="L61">
        <f t="shared" si="1"/>
        <v>58497</v>
      </c>
    </row>
    <row r="62" spans="1:12" ht="15.75" customHeight="1" x14ac:dyDescent="0.3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  <c r="K62">
        <f t="shared" si="0"/>
        <v>22616.28</v>
      </c>
      <c r="L62">
        <f t="shared" si="1"/>
        <v>17957.159999999996</v>
      </c>
    </row>
    <row r="63" spans="1:12" ht="15.75" customHeight="1" x14ac:dyDescent="0.3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  <c r="K63">
        <f t="shared" si="0"/>
        <v>43088.88</v>
      </c>
      <c r="L63">
        <f t="shared" si="1"/>
        <v>-25895.100000000002</v>
      </c>
    </row>
    <row r="64" spans="1:12" ht="15.75" customHeight="1" x14ac:dyDescent="0.3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  <c r="K64">
        <f t="shared" si="0"/>
        <v>73932.800000000003</v>
      </c>
      <c r="L64">
        <f t="shared" si="1"/>
        <v>16516.7</v>
      </c>
    </row>
    <row r="65" spans="1:12" ht="15.75" customHeight="1" x14ac:dyDescent="0.3">
      <c r="A65" s="2" t="s">
        <v>92</v>
      </c>
      <c r="B65" s="7" t="s">
        <v>17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  <c r="K65">
        <f t="shared" si="0"/>
        <v>36807.769999999997</v>
      </c>
      <c r="L65">
        <f t="shared" si="1"/>
        <v>-7684.4700000000012</v>
      </c>
    </row>
    <row r="66" spans="1:12" ht="15.75" customHeight="1" x14ac:dyDescent="0.3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  <c r="K66">
        <f t="shared" si="0"/>
        <v>110565.8</v>
      </c>
      <c r="L66">
        <f t="shared" si="1"/>
        <v>66638.05</v>
      </c>
    </row>
    <row r="67" spans="1:12" ht="15.75" customHeight="1" x14ac:dyDescent="0.3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  <c r="K67">
        <f t="shared" ref="K67:K130" si="2">H67*I67</f>
        <v>63622</v>
      </c>
      <c r="L67">
        <f t="shared" ref="L67:L130" si="3">(I67-J67)*H67</f>
        <v>28968</v>
      </c>
    </row>
    <row r="68" spans="1:12" ht="15.75" customHeight="1" x14ac:dyDescent="0.3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  <c r="K68">
        <f t="shared" si="2"/>
        <v>31087.84</v>
      </c>
      <c r="L68">
        <f t="shared" si="3"/>
        <v>19620.96</v>
      </c>
    </row>
    <row r="69" spans="1:12" ht="15.75" customHeight="1" x14ac:dyDescent="0.3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  <c r="K69">
        <f t="shared" si="2"/>
        <v>111516.94</v>
      </c>
      <c r="L69">
        <f t="shared" si="3"/>
        <v>97854.24</v>
      </c>
    </row>
    <row r="70" spans="1:12" ht="15.75" customHeight="1" x14ac:dyDescent="0.3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  <c r="K70">
        <f t="shared" si="2"/>
        <v>41261.649999999994</v>
      </c>
      <c r="L70">
        <f t="shared" si="3"/>
        <v>-20499.82</v>
      </c>
    </row>
    <row r="71" spans="1:12" ht="15.75" customHeight="1" x14ac:dyDescent="0.3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  <c r="K71">
        <f t="shared" si="2"/>
        <v>627.52</v>
      </c>
      <c r="L71">
        <f t="shared" si="3"/>
        <v>-1094.4000000000001</v>
      </c>
    </row>
    <row r="72" spans="1:12" ht="15.75" customHeight="1" x14ac:dyDescent="0.3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  <c r="K72">
        <f t="shared" si="2"/>
        <v>31438.799999999999</v>
      </c>
      <c r="L72">
        <f t="shared" si="3"/>
        <v>21108.3</v>
      </c>
    </row>
    <row r="73" spans="1:12" ht="15.75" customHeight="1" x14ac:dyDescent="0.3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  <c r="K73">
        <f t="shared" si="2"/>
        <v>12983.24</v>
      </c>
      <c r="L73">
        <f t="shared" si="3"/>
        <v>-54668.2</v>
      </c>
    </row>
    <row r="74" spans="1:12" ht="15.75" customHeight="1" x14ac:dyDescent="0.3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  <c r="K74">
        <f t="shared" si="2"/>
        <v>11096.460000000001</v>
      </c>
      <c r="L74">
        <f t="shared" si="3"/>
        <v>-2294.4599999999991</v>
      </c>
    </row>
    <row r="75" spans="1:12" ht="15.75" customHeight="1" x14ac:dyDescent="0.3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  <c r="K75">
        <f t="shared" si="2"/>
        <v>96412.27</v>
      </c>
      <c r="L75">
        <f t="shared" si="3"/>
        <v>14367.040000000006</v>
      </c>
    </row>
    <row r="76" spans="1:12" ht="15.75" customHeight="1" x14ac:dyDescent="0.3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  <c r="K76">
        <f t="shared" si="2"/>
        <v>75286.98</v>
      </c>
      <c r="L76">
        <f t="shared" si="3"/>
        <v>51267.18</v>
      </c>
    </row>
    <row r="77" spans="1:12" ht="15.75" customHeight="1" x14ac:dyDescent="0.3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  <c r="K77">
        <f t="shared" si="2"/>
        <v>13320</v>
      </c>
      <c r="L77">
        <f t="shared" si="3"/>
        <v>9536.4</v>
      </c>
    </row>
    <row r="78" spans="1:12" ht="15.75" customHeight="1" x14ac:dyDescent="0.3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  <c r="K78">
        <f t="shared" si="2"/>
        <v>1668.8</v>
      </c>
      <c r="L78">
        <f t="shared" si="3"/>
        <v>-1207.3599999999999</v>
      </c>
    </row>
    <row r="79" spans="1:12" ht="15.75" customHeight="1" x14ac:dyDescent="0.3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  <c r="K79">
        <f t="shared" si="2"/>
        <v>142593</v>
      </c>
      <c r="L79">
        <f t="shared" si="3"/>
        <v>111642.74999999999</v>
      </c>
    </row>
    <row r="80" spans="1:12" ht="15.75" customHeight="1" x14ac:dyDescent="0.3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  <c r="K80">
        <f t="shared" si="2"/>
        <v>64282.53</v>
      </c>
      <c r="L80">
        <f t="shared" si="3"/>
        <v>-41698.410000000011</v>
      </c>
    </row>
    <row r="81" spans="1:12" ht="15.75" customHeight="1" x14ac:dyDescent="0.3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I81" s="10">
        <v>249.64500000000001</v>
      </c>
      <c r="J81" s="2">
        <v>339.51</v>
      </c>
      <c r="K81">
        <f t="shared" si="2"/>
        <v>42190.005000000005</v>
      </c>
      <c r="L81">
        <f t="shared" si="3"/>
        <v>-15187.184999999996</v>
      </c>
    </row>
    <row r="82" spans="1:12" ht="15.75" customHeight="1" x14ac:dyDescent="0.3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  <c r="K82">
        <f t="shared" si="2"/>
        <v>159848.4</v>
      </c>
      <c r="L82">
        <f t="shared" si="3"/>
        <v>51864.240000000005</v>
      </c>
    </row>
    <row r="83" spans="1:12" ht="15.75" customHeight="1" x14ac:dyDescent="0.3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  <c r="K83">
        <f t="shared" si="2"/>
        <v>4223.62</v>
      </c>
      <c r="L83">
        <f t="shared" si="3"/>
        <v>-137269.87999999998</v>
      </c>
    </row>
    <row r="84" spans="1:12" ht="15.75" customHeight="1" x14ac:dyDescent="0.3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  <c r="K84">
        <f t="shared" si="2"/>
        <v>49475.42</v>
      </c>
      <c r="L84">
        <f t="shared" si="3"/>
        <v>22236.049999999996</v>
      </c>
    </row>
    <row r="85" spans="1:12" ht="15.75" customHeight="1" x14ac:dyDescent="0.3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  <c r="K85">
        <f t="shared" si="2"/>
        <v>14465.28</v>
      </c>
      <c r="L85">
        <f t="shared" si="3"/>
        <v>1873.920000000001</v>
      </c>
    </row>
    <row r="86" spans="1:12" ht="15.75" customHeight="1" x14ac:dyDescent="0.3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  <c r="K86">
        <f t="shared" si="2"/>
        <v>85372.4</v>
      </c>
      <c r="L86">
        <f t="shared" si="3"/>
        <v>24744.639999999992</v>
      </c>
    </row>
    <row r="87" spans="1:12" ht="15.75" customHeight="1" x14ac:dyDescent="0.3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  <c r="K87">
        <f t="shared" si="2"/>
        <v>11132.03</v>
      </c>
      <c r="L87">
        <f t="shared" si="3"/>
        <v>-8082.6200000000008</v>
      </c>
    </row>
    <row r="88" spans="1:12" ht="15.75" customHeight="1" x14ac:dyDescent="0.3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  <c r="K88">
        <f t="shared" si="2"/>
        <v>44223.4</v>
      </c>
      <c r="L88">
        <f t="shared" si="3"/>
        <v>-26473.45</v>
      </c>
    </row>
    <row r="89" spans="1:12" ht="15.75" customHeight="1" x14ac:dyDescent="0.3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  <c r="K89">
        <f t="shared" si="2"/>
        <v>118131.48</v>
      </c>
      <c r="L89">
        <f t="shared" si="3"/>
        <v>98800.68</v>
      </c>
    </row>
    <row r="90" spans="1:12" ht="15.75" customHeight="1" x14ac:dyDescent="0.3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  <c r="K90">
        <f t="shared" si="2"/>
        <v>48117</v>
      </c>
      <c r="L90">
        <f t="shared" si="3"/>
        <v>14564.100000000002</v>
      </c>
    </row>
    <row r="91" spans="1:12" ht="15.75" customHeight="1" x14ac:dyDescent="0.3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  <c r="K91">
        <f t="shared" si="2"/>
        <v>14515.939999999999</v>
      </c>
      <c r="L91">
        <f t="shared" si="3"/>
        <v>-18645.660000000003</v>
      </c>
    </row>
    <row r="92" spans="1:12" ht="15.75" customHeight="1" x14ac:dyDescent="0.3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  <c r="K92">
        <f t="shared" si="2"/>
        <v>110390.04</v>
      </c>
      <c r="L92">
        <f t="shared" si="3"/>
        <v>61338.05999999999</v>
      </c>
    </row>
    <row r="93" spans="1:12" ht="15.75" customHeight="1" x14ac:dyDescent="0.3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I93" s="10">
        <v>249.64500000000001</v>
      </c>
      <c r="J93" s="2">
        <v>55.25</v>
      </c>
      <c r="K93">
        <f t="shared" si="2"/>
        <v>5242.5450000000001</v>
      </c>
      <c r="L93">
        <f t="shared" si="3"/>
        <v>4082.2950000000001</v>
      </c>
    </row>
    <row r="94" spans="1:12" ht="15.75" customHeight="1" x14ac:dyDescent="0.3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  <c r="K94">
        <f t="shared" si="2"/>
        <v>23453.600000000002</v>
      </c>
      <c r="L94">
        <f t="shared" si="3"/>
        <v>-27800.799999999996</v>
      </c>
    </row>
    <row r="95" spans="1:12" ht="15.75" customHeight="1" x14ac:dyDescent="0.3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  <c r="K95">
        <f t="shared" si="2"/>
        <v>104408.73</v>
      </c>
      <c r="L95">
        <f t="shared" si="3"/>
        <v>-40887.720000000008</v>
      </c>
    </row>
    <row r="96" spans="1:12" ht="15.75" customHeight="1" x14ac:dyDescent="0.3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  <c r="K96">
        <f t="shared" si="2"/>
        <v>68968</v>
      </c>
      <c r="L96">
        <f t="shared" si="3"/>
        <v>14518.230000000001</v>
      </c>
    </row>
    <row r="97" spans="1:12" ht="15.75" customHeight="1" x14ac:dyDescent="0.3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  <c r="K97">
        <f t="shared" si="2"/>
        <v>10440.1</v>
      </c>
      <c r="L97">
        <f t="shared" si="3"/>
        <v>4433.4400000000005</v>
      </c>
    </row>
    <row r="98" spans="1:12" ht="15.75" customHeight="1" x14ac:dyDescent="0.3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  <c r="K98">
        <f t="shared" si="2"/>
        <v>7150</v>
      </c>
      <c r="L98">
        <f t="shared" si="3"/>
        <v>2887.5</v>
      </c>
    </row>
    <row r="99" spans="1:12" ht="15.75" customHeight="1" x14ac:dyDescent="0.3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  <c r="K99">
        <f t="shared" si="2"/>
        <v>29984.120000000003</v>
      </c>
      <c r="L99">
        <f t="shared" si="3"/>
        <v>-10743.64</v>
      </c>
    </row>
    <row r="100" spans="1:12" ht="15.75" customHeight="1" x14ac:dyDescent="0.3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  <c r="K100">
        <f t="shared" si="2"/>
        <v>23519.16</v>
      </c>
      <c r="L100">
        <f t="shared" si="3"/>
        <v>7567.66</v>
      </c>
    </row>
    <row r="101" spans="1:12" ht="15.75" customHeight="1" x14ac:dyDescent="0.3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  <c r="K101">
        <f t="shared" si="2"/>
        <v>73747.08</v>
      </c>
      <c r="L101">
        <f t="shared" si="3"/>
        <v>-7093.02</v>
      </c>
    </row>
    <row r="102" spans="1:12" ht="15.75" customHeight="1" x14ac:dyDescent="0.3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  <c r="K102">
        <f t="shared" si="2"/>
        <v>4721.08</v>
      </c>
      <c r="L102">
        <f t="shared" si="3"/>
        <v>-1842.8799999999999</v>
      </c>
    </row>
    <row r="103" spans="1:12" ht="15.75" customHeight="1" x14ac:dyDescent="0.3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  <c r="K103">
        <f t="shared" si="2"/>
        <v>99294.209999999992</v>
      </c>
      <c r="L103">
        <f t="shared" si="3"/>
        <v>69353.55</v>
      </c>
    </row>
    <row r="104" spans="1:12" ht="15.75" customHeight="1" x14ac:dyDescent="0.3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  <c r="K104">
        <f t="shared" si="2"/>
        <v>90941.680000000008</v>
      </c>
      <c r="L104">
        <f t="shared" si="3"/>
        <v>84510.64</v>
      </c>
    </row>
    <row r="105" spans="1:12" ht="15.75" customHeight="1" x14ac:dyDescent="0.3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  <c r="K105">
        <f t="shared" si="2"/>
        <v>128563.71</v>
      </c>
      <c r="L105">
        <f t="shared" si="3"/>
        <v>121677.60000000002</v>
      </c>
    </row>
    <row r="106" spans="1:12" ht="15.75" customHeight="1" x14ac:dyDescent="0.3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  <c r="K106">
        <f t="shared" si="2"/>
        <v>44512.149999999994</v>
      </c>
      <c r="L106">
        <f t="shared" si="3"/>
        <v>14997.609999999999</v>
      </c>
    </row>
    <row r="107" spans="1:12" ht="15.75" customHeight="1" x14ac:dyDescent="0.3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  <c r="K107">
        <f t="shared" si="2"/>
        <v>197785.03</v>
      </c>
      <c r="L107">
        <f t="shared" si="3"/>
        <v>148515.86000000002</v>
      </c>
    </row>
    <row r="108" spans="1:12" ht="15.75" customHeight="1" x14ac:dyDescent="0.3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  <c r="K108">
        <f t="shared" si="2"/>
        <v>99291.839999999997</v>
      </c>
      <c r="L108">
        <f t="shared" si="3"/>
        <v>7815.4199999999955</v>
      </c>
    </row>
    <row r="109" spans="1:12" ht="15.75" customHeight="1" x14ac:dyDescent="0.3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  <c r="K109">
        <f t="shared" si="2"/>
        <v>101821.5</v>
      </c>
      <c r="L109">
        <f t="shared" si="3"/>
        <v>26748.480000000003</v>
      </c>
    </row>
    <row r="110" spans="1:12" ht="15.75" customHeight="1" x14ac:dyDescent="0.3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  <c r="K110">
        <f t="shared" si="2"/>
        <v>3770.2400000000002</v>
      </c>
      <c r="L110">
        <f t="shared" si="3"/>
        <v>-14785.119999999999</v>
      </c>
    </row>
    <row r="111" spans="1:12" ht="15.75" customHeight="1" x14ac:dyDescent="0.3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  <c r="K111">
        <f t="shared" si="2"/>
        <v>165292.35</v>
      </c>
      <c r="L111">
        <f t="shared" si="3"/>
        <v>144723.35</v>
      </c>
    </row>
    <row r="112" spans="1:12" ht="15.75" customHeight="1" x14ac:dyDescent="0.3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  <c r="K112">
        <f t="shared" si="2"/>
        <v>31354.120000000003</v>
      </c>
      <c r="L112">
        <f t="shared" si="3"/>
        <v>6302.2400000000007</v>
      </c>
    </row>
    <row r="113" spans="1:12" ht="15.75" customHeight="1" x14ac:dyDescent="0.3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  <c r="K113">
        <f t="shared" si="2"/>
        <v>50510.43</v>
      </c>
      <c r="L113">
        <f t="shared" si="3"/>
        <v>-95902.56</v>
      </c>
    </row>
    <row r="114" spans="1:12" ht="15.75" customHeight="1" x14ac:dyDescent="0.3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  <c r="K114">
        <f t="shared" si="2"/>
        <v>14193.76</v>
      </c>
      <c r="L114">
        <f t="shared" si="3"/>
        <v>-31695.84</v>
      </c>
    </row>
    <row r="115" spans="1:12" ht="15.75" customHeight="1" x14ac:dyDescent="0.3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  <c r="K115">
        <f t="shared" si="2"/>
        <v>26709.4</v>
      </c>
      <c r="L115">
        <f t="shared" si="3"/>
        <v>5014.8600000000015</v>
      </c>
    </row>
    <row r="116" spans="1:12" ht="15.75" customHeight="1" x14ac:dyDescent="0.3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  <c r="K116">
        <f t="shared" si="2"/>
        <v>28127.66</v>
      </c>
      <c r="L116">
        <f t="shared" si="3"/>
        <v>-50437.639999999992</v>
      </c>
    </row>
    <row r="117" spans="1:12" ht="15.75" customHeight="1" x14ac:dyDescent="0.3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  <c r="K117">
        <f t="shared" si="2"/>
        <v>21927.63</v>
      </c>
      <c r="L117">
        <f t="shared" si="3"/>
        <v>-35483.570000000007</v>
      </c>
    </row>
    <row r="118" spans="1:12" ht="15.75" customHeight="1" x14ac:dyDescent="0.3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  <c r="K118">
        <f t="shared" si="2"/>
        <v>23980.440000000002</v>
      </c>
      <c r="L118">
        <f t="shared" si="3"/>
        <v>-144977.56999999998</v>
      </c>
    </row>
    <row r="119" spans="1:12" ht="15.75" customHeight="1" x14ac:dyDescent="0.3">
      <c r="A119" s="2" t="s">
        <v>146</v>
      </c>
      <c r="B119" s="7" t="s">
        <v>17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  <c r="K119">
        <f t="shared" si="2"/>
        <v>18413.920000000002</v>
      </c>
      <c r="L119">
        <f t="shared" si="3"/>
        <v>-33465.839999999997</v>
      </c>
    </row>
    <row r="120" spans="1:12" ht="15.75" customHeight="1" x14ac:dyDescent="0.3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  <c r="K120">
        <f t="shared" si="2"/>
        <v>123946.61000000002</v>
      </c>
      <c r="L120">
        <f t="shared" si="3"/>
        <v>-37119.569999999985</v>
      </c>
    </row>
    <row r="121" spans="1:12" ht="15.75" customHeight="1" x14ac:dyDescent="0.3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  <c r="K121">
        <f t="shared" si="2"/>
        <v>23850.54</v>
      </c>
      <c r="L121">
        <f t="shared" si="3"/>
        <v>20056.23</v>
      </c>
    </row>
    <row r="122" spans="1:12" ht="15.75" customHeight="1" x14ac:dyDescent="0.3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  <c r="K122">
        <f t="shared" si="2"/>
        <v>69384.800000000003</v>
      </c>
      <c r="L122">
        <f t="shared" si="3"/>
        <v>54709.759999999995</v>
      </c>
    </row>
    <row r="123" spans="1:12" ht="15.75" customHeight="1" x14ac:dyDescent="0.3">
      <c r="A123" s="2" t="s">
        <v>150</v>
      </c>
      <c r="B123" s="7" t="s">
        <v>17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  <c r="K123">
        <f t="shared" si="2"/>
        <v>56029.05</v>
      </c>
      <c r="L123">
        <f t="shared" si="3"/>
        <v>-4991.9100000000035</v>
      </c>
    </row>
    <row r="124" spans="1:12" ht="15.75" customHeight="1" x14ac:dyDescent="0.3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  <c r="K124">
        <f t="shared" si="2"/>
        <v>15849.300000000001</v>
      </c>
      <c r="L124">
        <f t="shared" si="3"/>
        <v>-1504.1999999999994</v>
      </c>
    </row>
    <row r="125" spans="1:12" ht="15.75" customHeight="1" x14ac:dyDescent="0.3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  <c r="K125">
        <f t="shared" si="2"/>
        <v>6609.5999999999995</v>
      </c>
      <c r="L125">
        <f t="shared" si="3"/>
        <v>-150825.24</v>
      </c>
    </row>
    <row r="126" spans="1:12" ht="15.75" customHeight="1" x14ac:dyDescent="0.3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  <c r="K126">
        <f t="shared" si="2"/>
        <v>47340.649999999994</v>
      </c>
      <c r="L126">
        <f t="shared" si="3"/>
        <v>38038.979999999996</v>
      </c>
    </row>
    <row r="127" spans="1:12" ht="15.75" customHeight="1" x14ac:dyDescent="0.3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  <c r="K127">
        <f t="shared" si="2"/>
        <v>99769.4</v>
      </c>
      <c r="L127">
        <f t="shared" si="3"/>
        <v>76565.45</v>
      </c>
    </row>
    <row r="128" spans="1:12" ht="15.75" customHeight="1" x14ac:dyDescent="0.3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  <c r="K128">
        <f t="shared" si="2"/>
        <v>120662.08000000002</v>
      </c>
      <c r="L128">
        <f t="shared" si="3"/>
        <v>-33085.429999999986</v>
      </c>
    </row>
    <row r="129" spans="1:12" ht="15.75" customHeight="1" x14ac:dyDescent="0.3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  <c r="K129">
        <f t="shared" si="2"/>
        <v>47233.24</v>
      </c>
      <c r="L129">
        <f t="shared" si="3"/>
        <v>10151.320000000002</v>
      </c>
    </row>
    <row r="130" spans="1:12" ht="15.75" customHeight="1" x14ac:dyDescent="0.3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  <c r="K130">
        <f t="shared" si="2"/>
        <v>129787.18</v>
      </c>
      <c r="L130">
        <f t="shared" si="3"/>
        <v>-24477.450000000015</v>
      </c>
    </row>
    <row r="131" spans="1:12" ht="15.75" customHeight="1" x14ac:dyDescent="0.3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  <c r="K131">
        <f t="shared" ref="K131:K194" si="4">H131*I131</f>
        <v>43827.11</v>
      </c>
      <c r="L131">
        <f t="shared" ref="L131:L194" si="5">(I131-J131)*H131</f>
        <v>-39103.289999999994</v>
      </c>
    </row>
    <row r="132" spans="1:12" ht="15.75" customHeight="1" x14ac:dyDescent="0.3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H132" s="10">
        <v>255.90299999999999</v>
      </c>
      <c r="I132" s="2">
        <v>268.45999999999998</v>
      </c>
      <c r="J132" s="2">
        <v>199.19</v>
      </c>
      <c r="K132">
        <f t="shared" si="4"/>
        <v>68699.719379999995</v>
      </c>
      <c r="L132">
        <f t="shared" si="5"/>
        <v>17726.400809999996</v>
      </c>
    </row>
    <row r="133" spans="1:12" ht="15.75" customHeight="1" x14ac:dyDescent="0.3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  <c r="K133">
        <f t="shared" si="4"/>
        <v>15330.72</v>
      </c>
      <c r="L133">
        <f t="shared" si="5"/>
        <v>-20184.840000000004</v>
      </c>
    </row>
    <row r="134" spans="1:12" ht="15.75" customHeight="1" x14ac:dyDescent="0.3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  <c r="K134">
        <f t="shared" si="4"/>
        <v>14208.689999999999</v>
      </c>
      <c r="L134">
        <f t="shared" si="5"/>
        <v>-22202.460000000003</v>
      </c>
    </row>
    <row r="135" spans="1:12" ht="15.75" customHeight="1" x14ac:dyDescent="0.3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  <c r="K135">
        <f t="shared" si="4"/>
        <v>1977.3</v>
      </c>
      <c r="L135">
        <f t="shared" si="5"/>
        <v>-423.28000000000003</v>
      </c>
    </row>
    <row r="136" spans="1:12" ht="15.75" customHeight="1" x14ac:dyDescent="0.3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  <c r="K136">
        <f t="shared" si="4"/>
        <v>9874.41</v>
      </c>
      <c r="L136">
        <f t="shared" si="5"/>
        <v>2398.829999999999</v>
      </c>
    </row>
    <row r="137" spans="1:12" ht="15.75" customHeight="1" x14ac:dyDescent="0.3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  <c r="K137">
        <f t="shared" si="4"/>
        <v>152628.69999999998</v>
      </c>
      <c r="L137">
        <f t="shared" si="5"/>
        <v>77368.45</v>
      </c>
    </row>
    <row r="138" spans="1:12" ht="15.75" customHeight="1" x14ac:dyDescent="0.3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  <c r="K138">
        <f t="shared" si="4"/>
        <v>35005.799999999996</v>
      </c>
      <c r="L138">
        <f t="shared" si="5"/>
        <v>-109814.40000000001</v>
      </c>
    </row>
    <row r="139" spans="1:12" ht="15.75" customHeight="1" x14ac:dyDescent="0.3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  <c r="K139">
        <f t="shared" si="4"/>
        <v>39586.69</v>
      </c>
      <c r="L139">
        <f t="shared" si="5"/>
        <v>21826.480000000003</v>
      </c>
    </row>
    <row r="140" spans="1:12" ht="15.75" customHeight="1" x14ac:dyDescent="0.3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  <c r="K140">
        <f t="shared" si="4"/>
        <v>140469.07999999999</v>
      </c>
      <c r="L140">
        <f t="shared" si="5"/>
        <v>-10942.309999999998</v>
      </c>
    </row>
    <row r="141" spans="1:12" ht="15.75" customHeight="1" x14ac:dyDescent="0.3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  <c r="K141">
        <f t="shared" si="4"/>
        <v>16624.599999999999</v>
      </c>
      <c r="L141">
        <f t="shared" si="5"/>
        <v>-19416.239999999998</v>
      </c>
    </row>
    <row r="142" spans="1:12" ht="15.75" customHeight="1" x14ac:dyDescent="0.3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  <c r="K142">
        <f t="shared" si="4"/>
        <v>3754.41</v>
      </c>
      <c r="L142">
        <f t="shared" si="5"/>
        <v>3102.1699999999996</v>
      </c>
    </row>
    <row r="143" spans="1:12" ht="15.75" customHeight="1" x14ac:dyDescent="0.3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  <c r="K143">
        <f t="shared" si="4"/>
        <v>232738.38</v>
      </c>
      <c r="L143">
        <f t="shared" si="5"/>
        <v>224464.59</v>
      </c>
    </row>
    <row r="144" spans="1:12" ht="15.75" customHeight="1" x14ac:dyDescent="0.3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  <c r="K144">
        <f t="shared" si="4"/>
        <v>16948.02</v>
      </c>
      <c r="L144">
        <f t="shared" si="5"/>
        <v>-21621.690000000002</v>
      </c>
    </row>
    <row r="145" spans="1:12" ht="15.75" customHeight="1" x14ac:dyDescent="0.3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  <c r="K145">
        <f t="shared" si="4"/>
        <v>72819.69</v>
      </c>
      <c r="L145">
        <f t="shared" si="5"/>
        <v>14937.989999999996</v>
      </c>
    </row>
    <row r="146" spans="1:12" ht="15.75" customHeight="1" x14ac:dyDescent="0.3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  <c r="K146">
        <f t="shared" si="4"/>
        <v>154167.30000000002</v>
      </c>
      <c r="L146">
        <f t="shared" si="5"/>
        <v>52973.55</v>
      </c>
    </row>
    <row r="147" spans="1:12" ht="15.75" customHeight="1" x14ac:dyDescent="0.3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  <c r="K147">
        <f t="shared" si="4"/>
        <v>53088.12</v>
      </c>
      <c r="L147">
        <f t="shared" si="5"/>
        <v>40828.86</v>
      </c>
    </row>
    <row r="148" spans="1:12" ht="15.75" customHeight="1" x14ac:dyDescent="0.3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  <c r="K148">
        <f t="shared" si="4"/>
        <v>2747.67</v>
      </c>
      <c r="L148">
        <f t="shared" si="5"/>
        <v>-500.49000000000007</v>
      </c>
    </row>
    <row r="149" spans="1:12" ht="15.75" customHeight="1" x14ac:dyDescent="0.3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  <c r="K149">
        <f t="shared" si="4"/>
        <v>23156.399999999998</v>
      </c>
      <c r="L149">
        <f t="shared" si="5"/>
        <v>-14455.04</v>
      </c>
    </row>
    <row r="150" spans="1:12" ht="15.75" customHeight="1" x14ac:dyDescent="0.3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  <c r="K150">
        <f t="shared" si="4"/>
        <v>122386.31999999999</v>
      </c>
      <c r="L150">
        <f t="shared" si="5"/>
        <v>76445.87999999999</v>
      </c>
    </row>
    <row r="151" spans="1:12" ht="15.75" customHeight="1" x14ac:dyDescent="0.3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  <c r="K151">
        <f t="shared" si="4"/>
        <v>92224.74</v>
      </c>
      <c r="L151">
        <f t="shared" si="5"/>
        <v>52638.69</v>
      </c>
    </row>
    <row r="152" spans="1:12" ht="15.75" customHeight="1" x14ac:dyDescent="0.3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  <c r="K152">
        <f t="shared" si="4"/>
        <v>66677.66</v>
      </c>
      <c r="L152">
        <f t="shared" si="5"/>
        <v>-1942.7899999999934</v>
      </c>
    </row>
    <row r="153" spans="1:12" ht="15.75" customHeight="1" x14ac:dyDescent="0.3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  <c r="K153">
        <f t="shared" si="4"/>
        <v>15857.4</v>
      </c>
      <c r="L153">
        <f t="shared" si="5"/>
        <v>-85116.2</v>
      </c>
    </row>
    <row r="154" spans="1:12" ht="15.75" customHeight="1" x14ac:dyDescent="0.3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  <c r="K154">
        <f t="shared" si="4"/>
        <v>94112.079999999987</v>
      </c>
      <c r="L154">
        <f t="shared" si="5"/>
        <v>5130.6399999999885</v>
      </c>
    </row>
    <row r="155" spans="1:12" ht="15.75" customHeight="1" x14ac:dyDescent="0.3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  <c r="K155">
        <f t="shared" si="4"/>
        <v>204588.75</v>
      </c>
      <c r="L155">
        <f t="shared" si="5"/>
        <v>64872.099999999991</v>
      </c>
    </row>
    <row r="156" spans="1:12" ht="15.75" customHeight="1" x14ac:dyDescent="0.3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  <c r="K156">
        <f t="shared" si="4"/>
        <v>117897</v>
      </c>
      <c r="L156">
        <f t="shared" si="5"/>
        <v>62037.30000000001</v>
      </c>
    </row>
    <row r="157" spans="1:12" ht="15.75" customHeight="1" x14ac:dyDescent="0.3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  <c r="K157">
        <f t="shared" si="4"/>
        <v>220772.37</v>
      </c>
      <c r="L157">
        <f t="shared" si="5"/>
        <v>142904.30000000002</v>
      </c>
    </row>
    <row r="158" spans="1:12" ht="15.75" customHeight="1" x14ac:dyDescent="0.3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I158" s="10">
        <v>249.64500000000001</v>
      </c>
      <c r="J158" s="2">
        <v>220.75</v>
      </c>
      <c r="K158">
        <f t="shared" si="4"/>
        <v>3994.32</v>
      </c>
      <c r="L158">
        <f t="shared" si="5"/>
        <v>462.32000000000016</v>
      </c>
    </row>
    <row r="159" spans="1:12" ht="15.75" customHeight="1" x14ac:dyDescent="0.3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  <c r="K159">
        <f t="shared" si="4"/>
        <v>12735.699999999999</v>
      </c>
      <c r="L159">
        <f t="shared" si="5"/>
        <v>98.799999999998704</v>
      </c>
    </row>
    <row r="160" spans="1:12" ht="15.75" customHeight="1" x14ac:dyDescent="0.3">
      <c r="A160" s="2" t="s">
        <v>187</v>
      </c>
      <c r="B160" s="2" t="s">
        <v>22</v>
      </c>
      <c r="C160" s="2" t="s">
        <v>31</v>
      </c>
      <c r="D160" s="7" t="s">
        <v>13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  <c r="K160">
        <f t="shared" si="4"/>
        <v>117446.84</v>
      </c>
      <c r="L160">
        <f t="shared" si="5"/>
        <v>105589.43999999999</v>
      </c>
    </row>
    <row r="161" spans="1:12" ht="15.75" customHeight="1" x14ac:dyDescent="0.3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  <c r="K161">
        <f t="shared" si="4"/>
        <v>7456.6799999999994</v>
      </c>
      <c r="L161">
        <f t="shared" si="5"/>
        <v>280.13999999999947</v>
      </c>
    </row>
    <row r="162" spans="1:12" ht="15.75" customHeight="1" x14ac:dyDescent="0.3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  <c r="K162">
        <f t="shared" si="4"/>
        <v>11990.55</v>
      </c>
      <c r="L162">
        <f t="shared" si="5"/>
        <v>7002.7099999999991</v>
      </c>
    </row>
    <row r="163" spans="1:12" ht="15.75" customHeight="1" x14ac:dyDescent="0.3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  <c r="K163">
        <f t="shared" si="4"/>
        <v>114473.2</v>
      </c>
      <c r="L163">
        <f t="shared" si="5"/>
        <v>36705.119999999988</v>
      </c>
    </row>
    <row r="164" spans="1:12" ht="15.75" customHeight="1" x14ac:dyDescent="0.3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  <c r="K164">
        <f t="shared" si="4"/>
        <v>14297.36</v>
      </c>
      <c r="L164">
        <f t="shared" si="5"/>
        <v>-17361.52</v>
      </c>
    </row>
    <row r="165" spans="1:12" ht="15.75" customHeight="1" x14ac:dyDescent="0.3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  <c r="K165">
        <f t="shared" si="4"/>
        <v>184403.25</v>
      </c>
      <c r="L165">
        <f t="shared" si="5"/>
        <v>51195.499999999993</v>
      </c>
    </row>
    <row r="166" spans="1:12" ht="15.75" customHeight="1" x14ac:dyDescent="0.3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  <c r="K166">
        <f t="shared" si="4"/>
        <v>220534.8</v>
      </c>
      <c r="L166">
        <f t="shared" si="5"/>
        <v>179384.88</v>
      </c>
    </row>
    <row r="167" spans="1:12" ht="15.75" customHeight="1" x14ac:dyDescent="0.3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  <c r="K167">
        <f t="shared" si="4"/>
        <v>176646.6</v>
      </c>
      <c r="L167">
        <f t="shared" si="5"/>
        <v>-6079.3200000000043</v>
      </c>
    </row>
    <row r="168" spans="1:12" ht="15.75" customHeight="1" x14ac:dyDescent="0.3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  <c r="K168">
        <f t="shared" si="4"/>
        <v>3335.93</v>
      </c>
      <c r="L168">
        <f t="shared" si="5"/>
        <v>-14593.940000000002</v>
      </c>
    </row>
    <row r="169" spans="1:12" ht="15.75" customHeight="1" x14ac:dyDescent="0.3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  <c r="K169">
        <f t="shared" si="4"/>
        <v>70992</v>
      </c>
      <c r="L169">
        <f t="shared" si="5"/>
        <v>68040</v>
      </c>
    </row>
    <row r="170" spans="1:12" ht="15.75" customHeight="1" x14ac:dyDescent="0.3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  <c r="K170">
        <f t="shared" si="4"/>
        <v>2065.35</v>
      </c>
      <c r="L170">
        <f t="shared" si="5"/>
        <v>-1562.4000000000003</v>
      </c>
    </row>
    <row r="171" spans="1:12" ht="15.75" customHeight="1" x14ac:dyDescent="0.3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  <c r="K171">
        <f t="shared" si="4"/>
        <v>160557</v>
      </c>
      <c r="L171">
        <f t="shared" si="5"/>
        <v>108628.84000000001</v>
      </c>
    </row>
    <row r="172" spans="1:12" ht="15.75" customHeight="1" x14ac:dyDescent="0.3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  <c r="K172">
        <f t="shared" si="4"/>
        <v>168475.03</v>
      </c>
      <c r="L172">
        <f t="shared" si="5"/>
        <v>155498.19</v>
      </c>
    </row>
    <row r="173" spans="1:12" ht="15.75" customHeight="1" x14ac:dyDescent="0.3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  <c r="K173">
        <f t="shared" si="4"/>
        <v>108854.34999999999</v>
      </c>
      <c r="L173">
        <f t="shared" si="5"/>
        <v>18611.999999999996</v>
      </c>
    </row>
    <row r="174" spans="1:12" ht="15.75" customHeight="1" x14ac:dyDescent="0.3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  <c r="K174">
        <f t="shared" si="4"/>
        <v>65238.6</v>
      </c>
      <c r="L174">
        <f t="shared" si="5"/>
        <v>8687.7000000000025</v>
      </c>
    </row>
    <row r="175" spans="1:12" ht="15.75" customHeight="1" x14ac:dyDescent="0.3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  <c r="K175">
        <f t="shared" si="4"/>
        <v>5865.34</v>
      </c>
      <c r="L175">
        <f t="shared" si="5"/>
        <v>1204.4500000000005</v>
      </c>
    </row>
    <row r="176" spans="1:12" ht="15.75" customHeight="1" x14ac:dyDescent="0.3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  <c r="K176">
        <f t="shared" si="4"/>
        <v>208351.44</v>
      </c>
      <c r="L176">
        <f t="shared" si="5"/>
        <v>146617.68</v>
      </c>
    </row>
    <row r="177" spans="1:12" ht="15.75" customHeight="1" x14ac:dyDescent="0.3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  <c r="K177">
        <f t="shared" si="4"/>
        <v>17497.079999999998</v>
      </c>
      <c r="L177">
        <f t="shared" si="5"/>
        <v>11898.359999999999</v>
      </c>
    </row>
    <row r="178" spans="1:12" ht="15.75" customHeight="1" x14ac:dyDescent="0.3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  <c r="K178">
        <f t="shared" si="4"/>
        <v>176654.66</v>
      </c>
      <c r="L178">
        <f t="shared" si="5"/>
        <v>99193.920000000013</v>
      </c>
    </row>
    <row r="179" spans="1:12" ht="15.75" customHeight="1" x14ac:dyDescent="0.3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  <c r="K179">
        <f t="shared" si="4"/>
        <v>95098.08</v>
      </c>
      <c r="L179">
        <f t="shared" si="5"/>
        <v>71517.780000000013</v>
      </c>
    </row>
    <row r="180" spans="1:12" ht="15.75" customHeight="1" x14ac:dyDescent="0.3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  <c r="K180">
        <f t="shared" si="4"/>
        <v>7293.5999999999995</v>
      </c>
      <c r="L180">
        <f t="shared" si="5"/>
        <v>-2087.0400000000009</v>
      </c>
    </row>
    <row r="181" spans="1:12" ht="15.75" customHeight="1" x14ac:dyDescent="0.3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  <c r="K181">
        <f t="shared" si="4"/>
        <v>91361.200000000012</v>
      </c>
      <c r="L181">
        <f t="shared" si="5"/>
        <v>-11757.199999999986</v>
      </c>
    </row>
    <row r="182" spans="1:12" ht="15.75" customHeight="1" x14ac:dyDescent="0.3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  <c r="K182">
        <f t="shared" si="4"/>
        <v>64339.200000000004</v>
      </c>
      <c r="L182">
        <f t="shared" si="5"/>
        <v>-16020.48</v>
      </c>
    </row>
    <row r="183" spans="1:12" ht="15.75" customHeight="1" x14ac:dyDescent="0.3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  <c r="K183">
        <f t="shared" si="4"/>
        <v>93183.3</v>
      </c>
      <c r="L183">
        <f t="shared" si="5"/>
        <v>20456.519999999997</v>
      </c>
    </row>
    <row r="184" spans="1:12" ht="15.75" customHeight="1" x14ac:dyDescent="0.3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  <c r="K184">
        <f t="shared" si="4"/>
        <v>50940.42</v>
      </c>
      <c r="L184">
        <f t="shared" si="5"/>
        <v>40259.980000000003</v>
      </c>
    </row>
    <row r="185" spans="1:12" ht="15.75" customHeight="1" x14ac:dyDescent="0.3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  <c r="K185">
        <f t="shared" si="4"/>
        <v>23847.599999999999</v>
      </c>
      <c r="L185">
        <f t="shared" si="5"/>
        <v>22217.159999999996</v>
      </c>
    </row>
    <row r="186" spans="1:12" ht="15.75" customHeight="1" x14ac:dyDescent="0.3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  <c r="K186">
        <f t="shared" si="4"/>
        <v>73651.11</v>
      </c>
      <c r="L186">
        <f t="shared" si="5"/>
        <v>56087.01</v>
      </c>
    </row>
    <row r="187" spans="1:12" ht="15.75" customHeight="1" x14ac:dyDescent="0.3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  <c r="K187">
        <f t="shared" si="4"/>
        <v>82123.47</v>
      </c>
      <c r="L187">
        <f t="shared" si="5"/>
        <v>10778.129999999997</v>
      </c>
    </row>
    <row r="188" spans="1:12" ht="15.75" customHeight="1" x14ac:dyDescent="0.3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  <c r="K188">
        <f t="shared" si="4"/>
        <v>41736.14</v>
      </c>
      <c r="L188">
        <f t="shared" si="5"/>
        <v>36202.549999999996</v>
      </c>
    </row>
    <row r="189" spans="1:12" ht="15.75" customHeight="1" x14ac:dyDescent="0.3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  <c r="K189">
        <f t="shared" si="4"/>
        <v>50622.080000000002</v>
      </c>
      <c r="L189">
        <f t="shared" si="5"/>
        <v>22718.48</v>
      </c>
    </row>
    <row r="190" spans="1:12" ht="15.75" customHeight="1" x14ac:dyDescent="0.3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  <c r="K190">
        <f t="shared" si="4"/>
        <v>105970.29000000001</v>
      </c>
      <c r="L190">
        <f t="shared" si="5"/>
        <v>1907.5500000000054</v>
      </c>
    </row>
    <row r="191" spans="1:12" ht="15.75" customHeight="1" x14ac:dyDescent="0.3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  <c r="K191">
        <f t="shared" si="4"/>
        <v>1140.18</v>
      </c>
      <c r="L191">
        <f t="shared" si="5"/>
        <v>-13431.060000000001</v>
      </c>
    </row>
    <row r="192" spans="1:12" ht="15.75" customHeight="1" x14ac:dyDescent="0.3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  <c r="K192">
        <f t="shared" si="4"/>
        <v>9163.6</v>
      </c>
      <c r="L192">
        <f t="shared" si="5"/>
        <v>7081.9500000000007</v>
      </c>
    </row>
    <row r="193" spans="1:12" ht="15.75" customHeight="1" x14ac:dyDescent="0.3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  <c r="K193">
        <f t="shared" si="4"/>
        <v>41361.839999999997</v>
      </c>
      <c r="L193">
        <f t="shared" si="5"/>
        <v>-10572.12</v>
      </c>
    </row>
    <row r="194" spans="1:12" ht="15.75" customHeight="1" x14ac:dyDescent="0.3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  <c r="K194">
        <f t="shared" si="4"/>
        <v>11630.88</v>
      </c>
      <c r="L194">
        <f t="shared" si="5"/>
        <v>-1742.0400000000016</v>
      </c>
    </row>
    <row r="195" spans="1:12" ht="15.75" customHeight="1" x14ac:dyDescent="0.3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  <c r="K195">
        <f t="shared" ref="K195:K258" si="6">H195*I195</f>
        <v>77699.520000000004</v>
      </c>
      <c r="L195">
        <f t="shared" ref="L195:L258" si="7">(I195-J195)*H195</f>
        <v>22407.359999999993</v>
      </c>
    </row>
    <row r="196" spans="1:12" ht="15.75" customHeight="1" x14ac:dyDescent="0.3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  <c r="K196">
        <f t="shared" si="6"/>
        <v>87441.12</v>
      </c>
      <c r="L196">
        <f t="shared" si="7"/>
        <v>18438.339999999997</v>
      </c>
    </row>
    <row r="197" spans="1:12" ht="15.75" customHeight="1" x14ac:dyDescent="0.3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  <c r="K197">
        <f t="shared" si="6"/>
        <v>106926.77</v>
      </c>
      <c r="L197">
        <f t="shared" si="7"/>
        <v>104166.31000000001</v>
      </c>
    </row>
    <row r="198" spans="1:12" ht="15.75" customHeight="1" x14ac:dyDescent="0.3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  <c r="K198">
        <f t="shared" si="6"/>
        <v>116615.1</v>
      </c>
      <c r="L198">
        <f t="shared" si="7"/>
        <v>19355</v>
      </c>
    </row>
    <row r="199" spans="1:12" ht="15.75" customHeight="1" x14ac:dyDescent="0.3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  <c r="K199">
        <f t="shared" si="6"/>
        <v>190533.15000000002</v>
      </c>
      <c r="L199">
        <f t="shared" si="7"/>
        <v>69644.39</v>
      </c>
    </row>
    <row r="200" spans="1:12" ht="15.75" customHeight="1" x14ac:dyDescent="0.3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  <c r="K200">
        <f t="shared" si="6"/>
        <v>46212.55</v>
      </c>
      <c r="L200">
        <f t="shared" si="7"/>
        <v>33270.410000000003</v>
      </c>
    </row>
    <row r="201" spans="1:12" ht="15.75" customHeight="1" x14ac:dyDescent="0.3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H201" s="10">
        <v>255.90299999999999</v>
      </c>
      <c r="I201" s="2">
        <v>407.81</v>
      </c>
      <c r="J201" s="2">
        <v>351.95</v>
      </c>
      <c r="K201">
        <f t="shared" si="6"/>
        <v>104359.80243</v>
      </c>
      <c r="L201">
        <f t="shared" si="7"/>
        <v>14294.741580000004</v>
      </c>
    </row>
    <row r="202" spans="1:12" ht="15.75" customHeight="1" x14ac:dyDescent="0.3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  <c r="K202">
        <f t="shared" si="6"/>
        <v>1767.3</v>
      </c>
      <c r="L202">
        <f t="shared" si="7"/>
        <v>-1378.5</v>
      </c>
    </row>
    <row r="203" spans="1:12" ht="15.75" customHeight="1" x14ac:dyDescent="0.3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  <c r="K203">
        <f t="shared" si="6"/>
        <v>24570</v>
      </c>
      <c r="L203">
        <f t="shared" si="7"/>
        <v>-43608.240000000005</v>
      </c>
    </row>
    <row r="204" spans="1:12" ht="15.75" customHeight="1" x14ac:dyDescent="0.3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  <c r="K204">
        <f t="shared" si="6"/>
        <v>125666.64</v>
      </c>
      <c r="L204">
        <f t="shared" si="7"/>
        <v>4975.9600000000046</v>
      </c>
    </row>
    <row r="205" spans="1:12" ht="15.75" customHeight="1" x14ac:dyDescent="0.3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  <c r="K205">
        <f t="shared" si="6"/>
        <v>46408.799999999996</v>
      </c>
      <c r="L205">
        <f t="shared" si="7"/>
        <v>13476.119999999997</v>
      </c>
    </row>
    <row r="206" spans="1:12" ht="15.75" customHeight="1" x14ac:dyDescent="0.3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  <c r="K206">
        <f t="shared" si="6"/>
        <v>108913.92</v>
      </c>
      <c r="L206">
        <f t="shared" si="7"/>
        <v>-67998.87999999999</v>
      </c>
    </row>
    <row r="207" spans="1:12" ht="15.75" customHeight="1" x14ac:dyDescent="0.3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  <c r="K207">
        <f t="shared" si="6"/>
        <v>18619.530000000002</v>
      </c>
      <c r="L207">
        <f t="shared" si="7"/>
        <v>-9260.0099999999966</v>
      </c>
    </row>
    <row r="208" spans="1:12" ht="15.75" customHeight="1" x14ac:dyDescent="0.3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  <c r="K208">
        <f t="shared" si="6"/>
        <v>75056.159999999989</v>
      </c>
      <c r="L208">
        <f t="shared" si="7"/>
        <v>14349.449999999997</v>
      </c>
    </row>
    <row r="209" spans="1:12" ht="15.75" customHeight="1" x14ac:dyDescent="0.3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  <c r="K209">
        <f t="shared" si="6"/>
        <v>58453.2</v>
      </c>
      <c r="L209">
        <f t="shared" si="7"/>
        <v>46927.92</v>
      </c>
    </row>
    <row r="210" spans="1:12" ht="15.75" customHeight="1" x14ac:dyDescent="0.3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  <c r="K210">
        <f t="shared" si="6"/>
        <v>161626.5</v>
      </c>
      <c r="L210">
        <f t="shared" si="7"/>
        <v>151078.5</v>
      </c>
    </row>
    <row r="211" spans="1:12" ht="15.75" customHeight="1" x14ac:dyDescent="0.3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  <c r="K211">
        <f t="shared" si="6"/>
        <v>121510.62</v>
      </c>
      <c r="L211">
        <f t="shared" si="7"/>
        <v>61737.06</v>
      </c>
    </row>
    <row r="212" spans="1:12" ht="15.75" customHeight="1" x14ac:dyDescent="0.3">
      <c r="A212" s="2" t="s">
        <v>239</v>
      </c>
      <c r="B212" s="2" t="s">
        <v>11</v>
      </c>
      <c r="C212" s="2" t="s">
        <v>50</v>
      </c>
      <c r="D212" s="7" t="s">
        <v>13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  <c r="K212">
        <f t="shared" si="6"/>
        <v>163183.67999999999</v>
      </c>
      <c r="L212">
        <f t="shared" si="7"/>
        <v>43682.76</v>
      </c>
    </row>
    <row r="213" spans="1:12" ht="15.75" customHeight="1" x14ac:dyDescent="0.3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  <c r="K213">
        <f t="shared" si="6"/>
        <v>58062.48</v>
      </c>
      <c r="L213">
        <f t="shared" si="7"/>
        <v>29017.940000000002</v>
      </c>
    </row>
    <row r="214" spans="1:12" ht="15.75" customHeight="1" x14ac:dyDescent="0.3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  <c r="K214">
        <f t="shared" si="6"/>
        <v>30074.29</v>
      </c>
      <c r="L214">
        <f t="shared" si="7"/>
        <v>15552.71</v>
      </c>
    </row>
    <row r="215" spans="1:12" ht="15.75" customHeight="1" x14ac:dyDescent="0.3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  <c r="K215">
        <f t="shared" si="6"/>
        <v>15668.92</v>
      </c>
      <c r="L215">
        <f t="shared" si="7"/>
        <v>-97810.16</v>
      </c>
    </row>
    <row r="216" spans="1:12" ht="15.75" customHeight="1" x14ac:dyDescent="0.3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  <c r="K216">
        <f t="shared" si="6"/>
        <v>205828.36000000002</v>
      </c>
      <c r="L216">
        <f t="shared" si="7"/>
        <v>186450.6</v>
      </c>
    </row>
    <row r="217" spans="1:12" ht="15.75" customHeight="1" x14ac:dyDescent="0.3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  <c r="K217">
        <f t="shared" si="6"/>
        <v>7897.68</v>
      </c>
      <c r="L217">
        <f t="shared" si="7"/>
        <v>1303.6799999999998</v>
      </c>
    </row>
    <row r="218" spans="1:12" ht="15.75" customHeight="1" x14ac:dyDescent="0.3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  <c r="K218">
        <f t="shared" si="6"/>
        <v>33026.939999999995</v>
      </c>
      <c r="L218">
        <f t="shared" si="7"/>
        <v>26433.179999999997</v>
      </c>
    </row>
    <row r="219" spans="1:12" ht="15.75" customHeight="1" x14ac:dyDescent="0.3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  <c r="K219">
        <f t="shared" si="6"/>
        <v>46575.86</v>
      </c>
      <c r="L219">
        <f t="shared" si="7"/>
        <v>-128722.61999999998</v>
      </c>
    </row>
    <row r="220" spans="1:12" ht="15.75" customHeight="1" x14ac:dyDescent="0.3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  <c r="K220">
        <f t="shared" si="6"/>
        <v>41658.400000000001</v>
      </c>
      <c r="L220">
        <f t="shared" si="7"/>
        <v>7881.0399999999991</v>
      </c>
    </row>
    <row r="221" spans="1:12" ht="15.75" customHeight="1" x14ac:dyDescent="0.3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  <c r="K221">
        <f t="shared" si="6"/>
        <v>33330.99</v>
      </c>
      <c r="L221">
        <f t="shared" si="7"/>
        <v>12942.86</v>
      </c>
    </row>
    <row r="222" spans="1:12" ht="15.75" customHeight="1" x14ac:dyDescent="0.3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  <c r="K222">
        <f t="shared" si="6"/>
        <v>25325.7</v>
      </c>
      <c r="L222">
        <f t="shared" si="7"/>
        <v>-14772.600000000004</v>
      </c>
    </row>
    <row r="223" spans="1:12" ht="15.75" customHeight="1" x14ac:dyDescent="0.3">
      <c r="A223" s="2" t="s">
        <v>250</v>
      </c>
      <c r="B223" s="7" t="s">
        <v>17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  <c r="K223">
        <f t="shared" si="6"/>
        <v>89760.51</v>
      </c>
      <c r="L223">
        <f t="shared" si="7"/>
        <v>41630.449999999997</v>
      </c>
    </row>
    <row r="224" spans="1:12" ht="15.75" customHeight="1" x14ac:dyDescent="0.3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  <c r="K224">
        <f t="shared" si="6"/>
        <v>5542.53</v>
      </c>
      <c r="L224">
        <f t="shared" si="7"/>
        <v>-836.42999999999961</v>
      </c>
    </row>
    <row r="225" spans="1:12" ht="15.75" customHeight="1" x14ac:dyDescent="0.3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  <c r="K225">
        <f t="shared" si="6"/>
        <v>95286.099999999991</v>
      </c>
      <c r="L225">
        <f t="shared" si="7"/>
        <v>10986.059999999998</v>
      </c>
    </row>
    <row r="226" spans="1:12" ht="15.75" customHeight="1" x14ac:dyDescent="0.3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  <c r="K226">
        <f t="shared" si="6"/>
        <v>130242</v>
      </c>
      <c r="L226">
        <f t="shared" si="7"/>
        <v>61487.999999999993</v>
      </c>
    </row>
    <row r="227" spans="1:12" ht="15.75" customHeight="1" x14ac:dyDescent="0.3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  <c r="K227">
        <f t="shared" si="6"/>
        <v>58257.990000000005</v>
      </c>
      <c r="L227">
        <f t="shared" si="7"/>
        <v>48675.270000000004</v>
      </c>
    </row>
    <row r="228" spans="1:12" ht="15.75" customHeight="1" x14ac:dyDescent="0.3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  <c r="K228">
        <f t="shared" si="6"/>
        <v>10532.16</v>
      </c>
      <c r="L228">
        <f t="shared" si="7"/>
        <v>8288.64</v>
      </c>
    </row>
    <row r="229" spans="1:12" ht="15.75" customHeight="1" x14ac:dyDescent="0.3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H229" s="10">
        <v>255.90299999999999</v>
      </c>
      <c r="I229" s="2">
        <v>49.37</v>
      </c>
      <c r="J229" s="2">
        <v>39.32</v>
      </c>
      <c r="K229">
        <f t="shared" si="6"/>
        <v>12633.93111</v>
      </c>
      <c r="L229">
        <f t="shared" si="7"/>
        <v>2571.8251499999992</v>
      </c>
    </row>
    <row r="230" spans="1:12" ht="15.75" customHeight="1" x14ac:dyDescent="0.3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  <c r="K230">
        <f t="shared" si="6"/>
        <v>24855.870000000003</v>
      </c>
      <c r="L230">
        <f t="shared" si="7"/>
        <v>8867.880000000001</v>
      </c>
    </row>
    <row r="231" spans="1:12" ht="15.75" customHeight="1" x14ac:dyDescent="0.3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  <c r="K231">
        <f t="shared" si="6"/>
        <v>89095.049999999988</v>
      </c>
      <c r="L231">
        <f t="shared" si="7"/>
        <v>-65037.850000000013</v>
      </c>
    </row>
    <row r="232" spans="1:12" ht="15.75" customHeight="1" x14ac:dyDescent="0.3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  <c r="K232">
        <f t="shared" si="6"/>
        <v>235447.36000000002</v>
      </c>
      <c r="L232">
        <f t="shared" si="7"/>
        <v>151266.06000000003</v>
      </c>
    </row>
    <row r="233" spans="1:12" ht="15.75" customHeight="1" x14ac:dyDescent="0.3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  <c r="K233">
        <f t="shared" si="6"/>
        <v>63520.380000000005</v>
      </c>
      <c r="L233">
        <f t="shared" si="7"/>
        <v>53353.30000000001</v>
      </c>
    </row>
    <row r="234" spans="1:12" ht="15.75" customHeight="1" x14ac:dyDescent="0.3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  <c r="K234">
        <f t="shared" si="6"/>
        <v>26890.26</v>
      </c>
      <c r="L234">
        <f t="shared" si="7"/>
        <v>4032.06</v>
      </c>
    </row>
    <row r="235" spans="1:12" ht="15.75" customHeight="1" x14ac:dyDescent="0.3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  <c r="K235">
        <f t="shared" si="6"/>
        <v>20988</v>
      </c>
      <c r="L235">
        <f t="shared" si="7"/>
        <v>-82387.439999999988</v>
      </c>
    </row>
    <row r="236" spans="1:12" ht="15.75" customHeight="1" x14ac:dyDescent="0.3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  <c r="K236">
        <f t="shared" si="6"/>
        <v>7316.97</v>
      </c>
      <c r="L236">
        <f t="shared" si="7"/>
        <v>2264.5700000000006</v>
      </c>
    </row>
    <row r="237" spans="1:12" ht="15.75" customHeight="1" x14ac:dyDescent="0.3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  <c r="K237">
        <f t="shared" si="6"/>
        <v>35278.32</v>
      </c>
      <c r="L237">
        <f t="shared" si="7"/>
        <v>4230.16</v>
      </c>
    </row>
    <row r="238" spans="1:12" ht="15.75" customHeight="1" x14ac:dyDescent="0.3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  <c r="K238">
        <f t="shared" si="6"/>
        <v>3469.32</v>
      </c>
      <c r="L238">
        <f t="shared" si="7"/>
        <v>-584.63999999999987</v>
      </c>
    </row>
    <row r="239" spans="1:12" ht="15.75" customHeight="1" x14ac:dyDescent="0.3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  <c r="K239">
        <f t="shared" si="6"/>
        <v>27662.28</v>
      </c>
      <c r="L239">
        <f t="shared" si="7"/>
        <v>13170.51</v>
      </c>
    </row>
    <row r="240" spans="1:12" ht="15.75" customHeight="1" x14ac:dyDescent="0.3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  <c r="K240">
        <f t="shared" si="6"/>
        <v>23466.66</v>
      </c>
      <c r="L240">
        <f t="shared" si="7"/>
        <v>2688.6299999999997</v>
      </c>
    </row>
    <row r="241" spans="1:12" ht="15.75" customHeight="1" x14ac:dyDescent="0.3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  <c r="K241">
        <f t="shared" si="6"/>
        <v>20111.52</v>
      </c>
      <c r="L241">
        <f t="shared" si="7"/>
        <v>-34740.159999999996</v>
      </c>
    </row>
    <row r="242" spans="1:12" ht="15.75" customHeight="1" x14ac:dyDescent="0.3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  <c r="K242">
        <f t="shared" si="6"/>
        <v>181878.84</v>
      </c>
      <c r="L242">
        <f t="shared" si="7"/>
        <v>132081.84</v>
      </c>
    </row>
    <row r="243" spans="1:12" ht="15.75" customHeight="1" x14ac:dyDescent="0.3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  <c r="K243">
        <f t="shared" si="6"/>
        <v>77020.12</v>
      </c>
      <c r="L243">
        <f t="shared" si="7"/>
        <v>-29466.98</v>
      </c>
    </row>
    <row r="244" spans="1:12" ht="15.75" customHeight="1" x14ac:dyDescent="0.3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  <c r="K244">
        <f t="shared" si="6"/>
        <v>21972.559999999998</v>
      </c>
      <c r="L244">
        <f t="shared" si="7"/>
        <v>-127201.38000000002</v>
      </c>
    </row>
    <row r="245" spans="1:12" ht="15.75" customHeight="1" x14ac:dyDescent="0.3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  <c r="K245">
        <f t="shared" si="6"/>
        <v>178645.6</v>
      </c>
      <c r="L245">
        <f t="shared" si="7"/>
        <v>70811.48000000001</v>
      </c>
    </row>
    <row r="246" spans="1:12" ht="15.75" customHeight="1" x14ac:dyDescent="0.3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  <c r="K246">
        <f t="shared" si="6"/>
        <v>36079.1</v>
      </c>
      <c r="L246">
        <f t="shared" si="7"/>
        <v>-16319.099999999997</v>
      </c>
    </row>
    <row r="247" spans="1:12" ht="15.75" customHeight="1" x14ac:dyDescent="0.3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  <c r="K247">
        <f t="shared" si="6"/>
        <v>8765.4600000000009</v>
      </c>
      <c r="L247">
        <f t="shared" si="7"/>
        <v>3770.9100000000003</v>
      </c>
    </row>
    <row r="248" spans="1:12" ht="15.75" customHeight="1" x14ac:dyDescent="0.3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  <c r="K248">
        <f t="shared" si="6"/>
        <v>19691.75</v>
      </c>
      <c r="L248">
        <f t="shared" si="7"/>
        <v>-50638.25</v>
      </c>
    </row>
    <row r="249" spans="1:12" ht="15.75" customHeight="1" x14ac:dyDescent="0.3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  <c r="K249">
        <f t="shared" si="6"/>
        <v>2430.36</v>
      </c>
      <c r="L249">
        <f t="shared" si="7"/>
        <v>-79079.58</v>
      </c>
    </row>
    <row r="250" spans="1:12" ht="15.75" customHeight="1" x14ac:dyDescent="0.3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  <c r="K250">
        <f t="shared" si="6"/>
        <v>127036.8</v>
      </c>
      <c r="L250">
        <f t="shared" si="7"/>
        <v>-7413.1199999999881</v>
      </c>
    </row>
    <row r="251" spans="1:12" ht="15.75" customHeight="1" x14ac:dyDescent="0.3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  <c r="K251">
        <f t="shared" si="6"/>
        <v>107384.12999999999</v>
      </c>
      <c r="L251">
        <f t="shared" si="7"/>
        <v>-31511.900000000005</v>
      </c>
    </row>
    <row r="252" spans="1:12" ht="15.75" customHeight="1" x14ac:dyDescent="0.3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H252" s="10">
        <v>255.90299999999999</v>
      </c>
      <c r="I252" s="2">
        <v>298.8</v>
      </c>
      <c r="J252" s="2">
        <v>333.41</v>
      </c>
      <c r="K252">
        <f t="shared" si="6"/>
        <v>76463.816399999996</v>
      </c>
      <c r="L252">
        <f t="shared" si="7"/>
        <v>-8856.8028300000024</v>
      </c>
    </row>
    <row r="253" spans="1:12" ht="15.75" customHeight="1" x14ac:dyDescent="0.3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  <c r="K253">
        <f t="shared" si="6"/>
        <v>9549.5999999999985</v>
      </c>
      <c r="L253">
        <f t="shared" si="7"/>
        <v>9396.24</v>
      </c>
    </row>
    <row r="254" spans="1:12" ht="15.75" customHeight="1" x14ac:dyDescent="0.3">
      <c r="A254" s="2" t="s">
        <v>281</v>
      </c>
      <c r="B254" s="2" t="s">
        <v>17</v>
      </c>
      <c r="C254" s="2" t="s">
        <v>12</v>
      </c>
      <c r="D254" s="7" t="s">
        <v>13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  <c r="K254">
        <f t="shared" si="6"/>
        <v>52661.34</v>
      </c>
      <c r="L254">
        <f t="shared" si="7"/>
        <v>4009.5</v>
      </c>
    </row>
    <row r="255" spans="1:12" ht="15.75" customHeight="1" x14ac:dyDescent="0.3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  <c r="K255">
        <f t="shared" si="6"/>
        <v>21138.81</v>
      </c>
      <c r="L255">
        <f t="shared" si="7"/>
        <v>-49073.64</v>
      </c>
    </row>
    <row r="256" spans="1:12" ht="15.75" customHeight="1" x14ac:dyDescent="0.3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  <c r="K256">
        <f t="shared" si="6"/>
        <v>39469.700000000004</v>
      </c>
      <c r="L256">
        <f t="shared" si="7"/>
        <v>-19008.149999999998</v>
      </c>
    </row>
    <row r="257" spans="1:12" ht="15.75" customHeight="1" x14ac:dyDescent="0.3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  <c r="K257">
        <f t="shared" si="6"/>
        <v>210386.88</v>
      </c>
      <c r="L257">
        <f t="shared" si="7"/>
        <v>69799.520000000004</v>
      </c>
    </row>
    <row r="258" spans="1:12" ht="15.75" customHeight="1" x14ac:dyDescent="0.3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I258" s="10">
        <v>249.64500000000001</v>
      </c>
      <c r="J258" s="2">
        <v>337.1</v>
      </c>
      <c r="K258">
        <f t="shared" si="6"/>
        <v>70399.89</v>
      </c>
      <c r="L258">
        <f t="shared" si="7"/>
        <v>-24662.310000000005</v>
      </c>
    </row>
    <row r="259" spans="1:12" ht="15.75" customHeight="1" x14ac:dyDescent="0.3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  <c r="K259">
        <f t="shared" ref="K259:K322" si="8">H259*I259</f>
        <v>109691.14000000001</v>
      </c>
      <c r="L259">
        <f t="shared" ref="L259:L322" si="9">(I259-J259)*H259</f>
        <v>35717.850000000006</v>
      </c>
    </row>
    <row r="260" spans="1:12" ht="15.75" customHeight="1" x14ac:dyDescent="0.3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  <c r="K260">
        <f t="shared" si="8"/>
        <v>32227.3</v>
      </c>
      <c r="L260">
        <f t="shared" si="9"/>
        <v>-17218.599999999999</v>
      </c>
    </row>
    <row r="261" spans="1:12" ht="15.75" customHeight="1" x14ac:dyDescent="0.3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  <c r="K261">
        <f t="shared" si="8"/>
        <v>53927.48</v>
      </c>
      <c r="L261">
        <f t="shared" si="9"/>
        <v>35905.120000000003</v>
      </c>
    </row>
    <row r="262" spans="1:12" ht="15.75" customHeight="1" x14ac:dyDescent="0.3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I262" s="10">
        <v>249.64500000000001</v>
      </c>
      <c r="J262" s="2">
        <v>155.38</v>
      </c>
      <c r="K262">
        <f t="shared" si="8"/>
        <v>59165.865000000005</v>
      </c>
      <c r="L262">
        <f t="shared" si="9"/>
        <v>22340.805000000004</v>
      </c>
    </row>
    <row r="263" spans="1:12" ht="15.75" customHeight="1" x14ac:dyDescent="0.3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  <c r="K263">
        <f t="shared" si="8"/>
        <v>7673.94</v>
      </c>
      <c r="L263">
        <f t="shared" si="9"/>
        <v>3028.8599999999997</v>
      </c>
    </row>
    <row r="264" spans="1:12" ht="15.75" customHeight="1" x14ac:dyDescent="0.3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  <c r="K264">
        <f t="shared" si="8"/>
        <v>59038</v>
      </c>
      <c r="L264">
        <f t="shared" si="9"/>
        <v>4332.9999999999982</v>
      </c>
    </row>
    <row r="265" spans="1:12" ht="15.75" customHeight="1" x14ac:dyDescent="0.3">
      <c r="A265" s="2" t="s">
        <v>292</v>
      </c>
      <c r="B265" s="2" t="s">
        <v>22</v>
      </c>
      <c r="C265" s="2" t="s">
        <v>18</v>
      </c>
      <c r="D265" s="7" t="s">
        <v>13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  <c r="K265">
        <f t="shared" si="8"/>
        <v>178922.52000000002</v>
      </c>
      <c r="L265">
        <f t="shared" si="9"/>
        <v>139916.07</v>
      </c>
    </row>
    <row r="266" spans="1:12" ht="15.75" customHeight="1" x14ac:dyDescent="0.3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  <c r="K266">
        <f t="shared" si="8"/>
        <v>174173.97</v>
      </c>
      <c r="L266">
        <f t="shared" si="9"/>
        <v>148420.91999999998</v>
      </c>
    </row>
    <row r="267" spans="1:12" ht="15.75" customHeight="1" x14ac:dyDescent="0.3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  <c r="K267">
        <f t="shared" si="8"/>
        <v>25944.799999999999</v>
      </c>
      <c r="L267">
        <f t="shared" si="9"/>
        <v>-61267.119999999995</v>
      </c>
    </row>
    <row r="268" spans="1:12" ht="15.75" customHeight="1" x14ac:dyDescent="0.3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  <c r="K268">
        <f t="shared" si="8"/>
        <v>47911.549999999996</v>
      </c>
      <c r="L268">
        <f t="shared" si="9"/>
        <v>47298.299999999996</v>
      </c>
    </row>
    <row r="269" spans="1:12" ht="15.75" customHeight="1" x14ac:dyDescent="0.3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  <c r="K269">
        <f t="shared" si="8"/>
        <v>10171.980000000001</v>
      </c>
      <c r="L269">
        <f t="shared" si="9"/>
        <v>975.24000000000115</v>
      </c>
    </row>
    <row r="270" spans="1:12" ht="15.75" customHeight="1" x14ac:dyDescent="0.3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  <c r="K270">
        <f t="shared" si="8"/>
        <v>47968.799999999996</v>
      </c>
      <c r="L270">
        <f t="shared" si="9"/>
        <v>42608.65</v>
      </c>
    </row>
    <row r="271" spans="1:12" ht="15.75" customHeight="1" x14ac:dyDescent="0.3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  <c r="K271">
        <f t="shared" si="8"/>
        <v>153653.84</v>
      </c>
      <c r="L271">
        <f t="shared" si="9"/>
        <v>129501.57999999999</v>
      </c>
    </row>
    <row r="272" spans="1:12" ht="15.75" customHeight="1" x14ac:dyDescent="0.3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  <c r="K272">
        <f t="shared" si="8"/>
        <v>19365.48</v>
      </c>
      <c r="L272">
        <f t="shared" si="9"/>
        <v>13357.710000000003</v>
      </c>
    </row>
    <row r="273" spans="1:12" ht="15.75" customHeight="1" x14ac:dyDescent="0.3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  <c r="K273">
        <f t="shared" si="8"/>
        <v>109080</v>
      </c>
      <c r="L273">
        <f t="shared" si="9"/>
        <v>45938.840000000004</v>
      </c>
    </row>
    <row r="274" spans="1:12" ht="15.75" customHeight="1" x14ac:dyDescent="0.3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  <c r="K274">
        <f t="shared" si="8"/>
        <v>6813.09</v>
      </c>
      <c r="L274">
        <f t="shared" si="9"/>
        <v>-5022.3999999999996</v>
      </c>
    </row>
    <row r="275" spans="1:12" ht="15.75" customHeight="1" x14ac:dyDescent="0.3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  <c r="K275">
        <f t="shared" si="8"/>
        <v>34147.979999999996</v>
      </c>
      <c r="L275">
        <f t="shared" si="9"/>
        <v>-40743.46</v>
      </c>
    </row>
    <row r="276" spans="1:12" ht="15.75" customHeight="1" x14ac:dyDescent="0.3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  <c r="K276">
        <f t="shared" si="8"/>
        <v>25935.46</v>
      </c>
      <c r="L276">
        <f t="shared" si="9"/>
        <v>-18758.900000000001</v>
      </c>
    </row>
    <row r="277" spans="1:12" ht="15.75" customHeight="1" x14ac:dyDescent="0.3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  <c r="K277">
        <f t="shared" si="8"/>
        <v>8671.86</v>
      </c>
      <c r="L277">
        <f t="shared" si="9"/>
        <v>-14811.660000000002</v>
      </c>
    </row>
    <row r="278" spans="1:12" ht="15.75" customHeight="1" x14ac:dyDescent="0.3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  <c r="K278">
        <f t="shared" si="8"/>
        <v>91745.94</v>
      </c>
      <c r="L278">
        <f t="shared" si="9"/>
        <v>79319.240000000005</v>
      </c>
    </row>
    <row r="279" spans="1:12" ht="15.75" customHeight="1" x14ac:dyDescent="0.3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  <c r="K279">
        <f t="shared" si="8"/>
        <v>37401.279999999999</v>
      </c>
      <c r="L279">
        <f t="shared" si="9"/>
        <v>11444.519999999999</v>
      </c>
    </row>
    <row r="280" spans="1:12" ht="15.75" customHeight="1" x14ac:dyDescent="0.3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  <c r="K280">
        <f t="shared" si="8"/>
        <v>154792.95000000001</v>
      </c>
      <c r="L280">
        <f t="shared" si="9"/>
        <v>17570.960000000021</v>
      </c>
    </row>
    <row r="281" spans="1:12" ht="15.75" customHeight="1" x14ac:dyDescent="0.3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  <c r="K281">
        <f t="shared" si="8"/>
        <v>11166.259999999998</v>
      </c>
      <c r="L281">
        <f t="shared" si="9"/>
        <v>3592.6799999999994</v>
      </c>
    </row>
    <row r="282" spans="1:12" ht="15.75" customHeight="1" x14ac:dyDescent="0.3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  <c r="K282">
        <f t="shared" si="8"/>
        <v>26087.460000000003</v>
      </c>
      <c r="L282">
        <f t="shared" si="9"/>
        <v>-41810.029999999992</v>
      </c>
    </row>
    <row r="283" spans="1:12" ht="15.75" customHeight="1" x14ac:dyDescent="0.3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  <c r="K283">
        <f t="shared" si="8"/>
        <v>52837.5</v>
      </c>
      <c r="L283">
        <f t="shared" si="9"/>
        <v>-37368.75</v>
      </c>
    </row>
    <row r="284" spans="1:12" ht="15.75" customHeight="1" x14ac:dyDescent="0.3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  <c r="K284">
        <f t="shared" si="8"/>
        <v>31256.160000000003</v>
      </c>
      <c r="L284">
        <f t="shared" si="9"/>
        <v>6124.5600000000013</v>
      </c>
    </row>
    <row r="285" spans="1:12" ht="15.75" customHeight="1" x14ac:dyDescent="0.3">
      <c r="A285" s="2" t="s">
        <v>312</v>
      </c>
      <c r="B285" s="2" t="s">
        <v>11</v>
      </c>
      <c r="C285" s="2" t="s">
        <v>12</v>
      </c>
      <c r="D285" s="7" t="s">
        <v>13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  <c r="K285">
        <f t="shared" si="8"/>
        <v>59419.5</v>
      </c>
      <c r="L285">
        <f t="shared" si="9"/>
        <v>57471.750000000007</v>
      </c>
    </row>
    <row r="286" spans="1:12" ht="15.75" customHeight="1" x14ac:dyDescent="0.3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  <c r="K286">
        <f t="shared" si="8"/>
        <v>9189.74</v>
      </c>
      <c r="L286">
        <f t="shared" si="9"/>
        <v>3851.54</v>
      </c>
    </row>
    <row r="287" spans="1:12" ht="15.75" customHeight="1" x14ac:dyDescent="0.3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  <c r="K287">
        <f t="shared" si="8"/>
        <v>4513.3999999999996</v>
      </c>
      <c r="L287">
        <f t="shared" si="9"/>
        <v>-593.00000000000011</v>
      </c>
    </row>
    <row r="288" spans="1:12" ht="15.75" customHeight="1" x14ac:dyDescent="0.3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  <c r="K288">
        <f t="shared" si="8"/>
        <v>112728.4</v>
      </c>
      <c r="L288">
        <f t="shared" si="9"/>
        <v>93725.4</v>
      </c>
    </row>
    <row r="289" spans="1:12" ht="15.75" customHeight="1" x14ac:dyDescent="0.3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I289" s="10">
        <v>249.64500000000001</v>
      </c>
      <c r="J289" s="2">
        <v>278.77999999999997</v>
      </c>
      <c r="K289">
        <f t="shared" si="8"/>
        <v>56419.770000000004</v>
      </c>
      <c r="L289">
        <f t="shared" si="9"/>
        <v>-6584.5099999999911</v>
      </c>
    </row>
    <row r="290" spans="1:12" ht="15.75" customHeight="1" x14ac:dyDescent="0.3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H290" s="10">
        <v>255.90299999999999</v>
      </c>
      <c r="I290" s="2">
        <v>173.84</v>
      </c>
      <c r="J290" s="2">
        <v>298.88</v>
      </c>
      <c r="K290">
        <f t="shared" si="8"/>
        <v>44486.177519999997</v>
      </c>
      <c r="L290">
        <f t="shared" si="9"/>
        <v>-31998.111119999998</v>
      </c>
    </row>
    <row r="291" spans="1:12" ht="15.75" customHeight="1" x14ac:dyDescent="0.3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  <c r="K291">
        <f t="shared" si="8"/>
        <v>45538.86</v>
      </c>
      <c r="L291">
        <f t="shared" si="9"/>
        <v>1935.8399999999997</v>
      </c>
    </row>
    <row r="292" spans="1:12" ht="15.75" customHeight="1" x14ac:dyDescent="0.3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  <c r="K292">
        <f t="shared" si="8"/>
        <v>131758.06</v>
      </c>
      <c r="L292">
        <f t="shared" si="9"/>
        <v>94642.37999999999</v>
      </c>
    </row>
    <row r="293" spans="1:12" ht="15.75" customHeight="1" x14ac:dyDescent="0.3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  <c r="K293">
        <f t="shared" si="8"/>
        <v>68943.930000000008</v>
      </c>
      <c r="L293">
        <f t="shared" si="9"/>
        <v>-63546.469999999987</v>
      </c>
    </row>
    <row r="294" spans="1:12" ht="15.75" customHeight="1" x14ac:dyDescent="0.3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  <c r="K294">
        <f t="shared" si="8"/>
        <v>125091.48000000001</v>
      </c>
      <c r="L294">
        <f t="shared" si="9"/>
        <v>67385.400000000009</v>
      </c>
    </row>
    <row r="295" spans="1:12" ht="15.75" customHeight="1" x14ac:dyDescent="0.3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H295" s="10">
        <v>255.90299999999999</v>
      </c>
      <c r="I295" s="2">
        <v>387.45</v>
      </c>
      <c r="J295" s="2">
        <v>150.63999999999999</v>
      </c>
      <c r="K295">
        <f t="shared" si="8"/>
        <v>99149.61735</v>
      </c>
      <c r="L295">
        <f t="shared" si="9"/>
        <v>60600.389429999996</v>
      </c>
    </row>
    <row r="296" spans="1:12" ht="15.75" customHeight="1" x14ac:dyDescent="0.3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  <c r="K296">
        <f t="shared" si="8"/>
        <v>25590.560000000001</v>
      </c>
      <c r="L296">
        <f t="shared" si="9"/>
        <v>16057.08</v>
      </c>
    </row>
    <row r="297" spans="1:12" ht="15.75" customHeight="1" x14ac:dyDescent="0.3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  <c r="K297">
        <f t="shared" si="8"/>
        <v>31468.74</v>
      </c>
      <c r="L297">
        <f t="shared" si="9"/>
        <v>2879.93</v>
      </c>
    </row>
    <row r="298" spans="1:12" ht="15.75" customHeight="1" x14ac:dyDescent="0.3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  <c r="K298">
        <f t="shared" si="8"/>
        <v>14994.999999999998</v>
      </c>
      <c r="L298">
        <f t="shared" si="9"/>
        <v>10201.499999999998</v>
      </c>
    </row>
    <row r="299" spans="1:12" ht="15.75" customHeight="1" x14ac:dyDescent="0.3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  <c r="K299">
        <f t="shared" si="8"/>
        <v>83471.899999999994</v>
      </c>
      <c r="L299">
        <f t="shared" si="9"/>
        <v>22041.599999999995</v>
      </c>
    </row>
    <row r="300" spans="1:12" ht="15.75" customHeight="1" x14ac:dyDescent="0.3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  <c r="K300">
        <f t="shared" si="8"/>
        <v>15864.4</v>
      </c>
      <c r="L300">
        <f t="shared" si="9"/>
        <v>13578.75</v>
      </c>
    </row>
    <row r="301" spans="1:12" ht="15.75" customHeight="1" x14ac:dyDescent="0.3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  <c r="K301">
        <f t="shared" si="8"/>
        <v>67573.16</v>
      </c>
      <c r="L301">
        <f t="shared" si="9"/>
        <v>-56309.68</v>
      </c>
    </row>
    <row r="302" spans="1:12" ht="15.75" customHeight="1" x14ac:dyDescent="0.3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  <c r="K302">
        <f t="shared" si="8"/>
        <v>17076.95</v>
      </c>
      <c r="L302">
        <f t="shared" si="9"/>
        <v>186.44999999999925</v>
      </c>
    </row>
    <row r="303" spans="1:12" ht="15.75" customHeight="1" x14ac:dyDescent="0.3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  <c r="K303">
        <f t="shared" si="8"/>
        <v>37854.310000000005</v>
      </c>
      <c r="L303">
        <f t="shared" si="9"/>
        <v>-11828.310000000001</v>
      </c>
    </row>
    <row r="304" spans="1:12" ht="15.75" customHeight="1" x14ac:dyDescent="0.3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  <c r="K304">
        <f t="shared" si="8"/>
        <v>196715.44</v>
      </c>
      <c r="L304">
        <f t="shared" si="9"/>
        <v>139518.47999999998</v>
      </c>
    </row>
    <row r="305" spans="1:12" ht="15.75" customHeight="1" x14ac:dyDescent="0.3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  <c r="K305">
        <f t="shared" si="8"/>
        <v>29944.05</v>
      </c>
      <c r="L305">
        <f t="shared" si="9"/>
        <v>23620.6</v>
      </c>
    </row>
    <row r="306" spans="1:12" ht="15.75" customHeight="1" x14ac:dyDescent="0.3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  <c r="K306">
        <f t="shared" si="8"/>
        <v>12638.779999999999</v>
      </c>
      <c r="L306">
        <f t="shared" si="9"/>
        <v>-68945.47</v>
      </c>
    </row>
    <row r="307" spans="1:12" ht="15.75" customHeight="1" x14ac:dyDescent="0.3">
      <c r="A307" s="2" t="s">
        <v>334</v>
      </c>
      <c r="B307" s="2" t="s">
        <v>22</v>
      </c>
      <c r="C307" s="2" t="s">
        <v>12</v>
      </c>
      <c r="D307" s="7" t="s">
        <v>13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  <c r="K307">
        <f t="shared" si="8"/>
        <v>30578.6</v>
      </c>
      <c r="L307">
        <f t="shared" si="9"/>
        <v>11628.949999999999</v>
      </c>
    </row>
    <row r="308" spans="1:12" ht="15.75" customHeight="1" x14ac:dyDescent="0.3">
      <c r="A308" s="2" t="s">
        <v>335</v>
      </c>
      <c r="B308" s="2" t="s">
        <v>17</v>
      </c>
      <c r="C308" s="2" t="s">
        <v>31</v>
      </c>
      <c r="D308" s="7" t="s">
        <v>13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  <c r="K308">
        <f t="shared" si="8"/>
        <v>14061.22</v>
      </c>
      <c r="L308">
        <f t="shared" si="9"/>
        <v>6694.28</v>
      </c>
    </row>
    <row r="309" spans="1:12" ht="15.75" customHeight="1" x14ac:dyDescent="0.3">
      <c r="A309" s="2" t="s">
        <v>336</v>
      </c>
      <c r="B309" s="2" t="s">
        <v>48</v>
      </c>
      <c r="C309" s="2" t="s">
        <v>50</v>
      </c>
      <c r="D309" s="7" t="s">
        <v>13</v>
      </c>
      <c r="E309" s="2" t="s">
        <v>14</v>
      </c>
      <c r="F309" s="2" t="s">
        <v>28</v>
      </c>
      <c r="G309" s="3">
        <v>45234</v>
      </c>
      <c r="H309" s="2">
        <v>157</v>
      </c>
      <c r="I309" s="10">
        <v>249.64500000000001</v>
      </c>
      <c r="J309" s="2">
        <v>274.99</v>
      </c>
      <c r="K309">
        <f t="shared" si="8"/>
        <v>39194.264999999999</v>
      </c>
      <c r="L309">
        <f t="shared" si="9"/>
        <v>-3979.165</v>
      </c>
    </row>
    <row r="310" spans="1:12" ht="15.75" customHeight="1" x14ac:dyDescent="0.3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  <c r="K310">
        <f t="shared" si="8"/>
        <v>58083.9</v>
      </c>
      <c r="L310">
        <f t="shared" si="9"/>
        <v>-9316.0000000000018</v>
      </c>
    </row>
    <row r="311" spans="1:12" ht="15.75" customHeight="1" x14ac:dyDescent="0.3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  <c r="K311">
        <f t="shared" si="8"/>
        <v>25163.86</v>
      </c>
      <c r="L311">
        <f t="shared" si="9"/>
        <v>-38007.43</v>
      </c>
    </row>
    <row r="312" spans="1:12" ht="15.75" customHeight="1" x14ac:dyDescent="0.3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  <c r="K312">
        <f t="shared" si="8"/>
        <v>100087.95</v>
      </c>
      <c r="L312">
        <f t="shared" si="9"/>
        <v>-28300.879999999994</v>
      </c>
    </row>
    <row r="313" spans="1:12" ht="15.75" customHeight="1" x14ac:dyDescent="0.3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  <c r="K313">
        <f t="shared" si="8"/>
        <v>42164.25</v>
      </c>
      <c r="L313">
        <f t="shared" si="9"/>
        <v>-119429.25000000001</v>
      </c>
    </row>
    <row r="314" spans="1:12" ht="15.75" customHeight="1" x14ac:dyDescent="0.3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  <c r="K314">
        <f t="shared" si="8"/>
        <v>7758.41</v>
      </c>
      <c r="L314">
        <f t="shared" si="9"/>
        <v>-13016.86</v>
      </c>
    </row>
    <row r="315" spans="1:12" ht="15.75" customHeight="1" x14ac:dyDescent="0.3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H315" s="10">
        <v>255.90299999999999</v>
      </c>
      <c r="I315" s="2">
        <v>192.35</v>
      </c>
      <c r="J315" s="2">
        <v>227.09</v>
      </c>
      <c r="K315">
        <f t="shared" si="8"/>
        <v>49222.942049999998</v>
      </c>
      <c r="L315">
        <f t="shared" si="9"/>
        <v>-8890.0702200000014</v>
      </c>
    </row>
    <row r="316" spans="1:12" ht="15.75" customHeight="1" x14ac:dyDescent="0.3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  <c r="K316">
        <f t="shared" si="8"/>
        <v>2031.26</v>
      </c>
      <c r="L316">
        <f t="shared" si="9"/>
        <v>-2279.64</v>
      </c>
    </row>
    <row r="317" spans="1:12" ht="15.75" customHeight="1" x14ac:dyDescent="0.3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  <c r="K317">
        <f t="shared" si="8"/>
        <v>116475.84</v>
      </c>
      <c r="L317">
        <f t="shared" si="9"/>
        <v>100612.98</v>
      </c>
    </row>
    <row r="318" spans="1:12" ht="15.75" customHeight="1" x14ac:dyDescent="0.3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H318" s="10">
        <v>255.90299999999999</v>
      </c>
      <c r="I318" s="2">
        <v>225.94</v>
      </c>
      <c r="J318" s="2">
        <v>280.7</v>
      </c>
      <c r="K318">
        <f t="shared" si="8"/>
        <v>57818.723819999999</v>
      </c>
      <c r="L318">
        <f t="shared" si="9"/>
        <v>-14013.248279999998</v>
      </c>
    </row>
    <row r="319" spans="1:12" ht="15.75" customHeight="1" x14ac:dyDescent="0.3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  <c r="K319">
        <f t="shared" si="8"/>
        <v>41169.040000000001</v>
      </c>
      <c r="L319">
        <f t="shared" si="9"/>
        <v>-15737.26</v>
      </c>
    </row>
    <row r="320" spans="1:12" ht="15.75" customHeight="1" x14ac:dyDescent="0.3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  <c r="K320">
        <f t="shared" si="8"/>
        <v>137399.79999999999</v>
      </c>
      <c r="L320">
        <f t="shared" si="9"/>
        <v>26752.399999999994</v>
      </c>
    </row>
    <row r="321" spans="1:12" ht="15.75" customHeight="1" x14ac:dyDescent="0.3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  <c r="K321">
        <f t="shared" si="8"/>
        <v>20701.62</v>
      </c>
      <c r="L321">
        <f t="shared" si="9"/>
        <v>-97598.790000000008</v>
      </c>
    </row>
    <row r="322" spans="1:12" ht="15.75" customHeight="1" x14ac:dyDescent="0.3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  <c r="K322">
        <f t="shared" si="8"/>
        <v>204914.52</v>
      </c>
      <c r="L322">
        <f t="shared" si="9"/>
        <v>46446.779999999992</v>
      </c>
    </row>
    <row r="323" spans="1:12" ht="15.75" customHeight="1" x14ac:dyDescent="0.3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  <c r="K323">
        <f t="shared" ref="K323:K386" si="10">H323*I323</f>
        <v>27460.66</v>
      </c>
      <c r="L323">
        <f t="shared" ref="L323:L386" si="11">(I323-J323)*H323</f>
        <v>502.23999999999785</v>
      </c>
    </row>
    <row r="324" spans="1:12" ht="15.75" customHeight="1" x14ac:dyDescent="0.3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  <c r="K324">
        <f t="shared" si="10"/>
        <v>47330</v>
      </c>
      <c r="L324">
        <f t="shared" si="11"/>
        <v>44287.5</v>
      </c>
    </row>
    <row r="325" spans="1:12" ht="15.75" customHeight="1" x14ac:dyDescent="0.3">
      <c r="A325" s="2" t="s">
        <v>352</v>
      </c>
      <c r="B325" s="2" t="s">
        <v>48</v>
      </c>
      <c r="C325" s="2" t="s">
        <v>18</v>
      </c>
      <c r="D325" s="7" t="s">
        <v>13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  <c r="K325">
        <f t="shared" si="10"/>
        <v>14570.57</v>
      </c>
      <c r="L325">
        <f t="shared" si="11"/>
        <v>-41076</v>
      </c>
    </row>
    <row r="326" spans="1:12" ht="15.75" customHeight="1" x14ac:dyDescent="0.3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  <c r="K326">
        <f t="shared" si="10"/>
        <v>86191.35</v>
      </c>
      <c r="L326">
        <f t="shared" si="11"/>
        <v>48106.8</v>
      </c>
    </row>
    <row r="327" spans="1:12" ht="15.75" customHeight="1" x14ac:dyDescent="0.3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  <c r="K327">
        <f t="shared" si="10"/>
        <v>23993.759999999998</v>
      </c>
      <c r="L327">
        <f t="shared" si="11"/>
        <v>6968.6399999999994</v>
      </c>
    </row>
    <row r="328" spans="1:12" ht="15.75" customHeight="1" x14ac:dyDescent="0.3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  <c r="K328">
        <f t="shared" si="10"/>
        <v>83593.37000000001</v>
      </c>
      <c r="L328">
        <f t="shared" si="11"/>
        <v>45882.060000000005</v>
      </c>
    </row>
    <row r="329" spans="1:12" ht="15.75" customHeight="1" x14ac:dyDescent="0.3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H329" s="10">
        <v>255.90299999999999</v>
      </c>
      <c r="I329" s="2">
        <v>5.61</v>
      </c>
      <c r="J329" s="2">
        <v>193.4</v>
      </c>
      <c r="K329">
        <f t="shared" si="10"/>
        <v>1435.61583</v>
      </c>
      <c r="L329">
        <f t="shared" si="11"/>
        <v>-48056.024369999999</v>
      </c>
    </row>
    <row r="330" spans="1:12" ht="15.75" customHeight="1" x14ac:dyDescent="0.3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  <c r="K330">
        <f t="shared" si="10"/>
        <v>56642.559999999998</v>
      </c>
      <c r="L330">
        <f t="shared" si="11"/>
        <v>-7831.0400000000009</v>
      </c>
    </row>
    <row r="331" spans="1:12" ht="15.75" customHeight="1" x14ac:dyDescent="0.3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  <c r="K331">
        <f t="shared" si="10"/>
        <v>48580.29</v>
      </c>
      <c r="L331">
        <f t="shared" si="11"/>
        <v>11448.359999999999</v>
      </c>
    </row>
    <row r="332" spans="1:12" ht="15.75" customHeight="1" x14ac:dyDescent="0.3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  <c r="K332">
        <f t="shared" si="10"/>
        <v>43932.81</v>
      </c>
      <c r="L332">
        <f t="shared" si="11"/>
        <v>-7856.1900000000014</v>
      </c>
    </row>
    <row r="333" spans="1:12" ht="15.75" customHeight="1" x14ac:dyDescent="0.3">
      <c r="A333" s="2" t="s">
        <v>360</v>
      </c>
      <c r="B333" s="7" t="s">
        <v>17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  <c r="K333">
        <f t="shared" si="10"/>
        <v>25459.85</v>
      </c>
      <c r="L333">
        <f t="shared" si="11"/>
        <v>-7710.6600000000017</v>
      </c>
    </row>
    <row r="334" spans="1:12" ht="15.75" customHeight="1" x14ac:dyDescent="0.3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  <c r="K334">
        <f t="shared" si="10"/>
        <v>9776.64</v>
      </c>
      <c r="L334">
        <f t="shared" si="11"/>
        <v>6456.9599999999982</v>
      </c>
    </row>
    <row r="335" spans="1:12" ht="15.75" customHeight="1" x14ac:dyDescent="0.3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  <c r="K335">
        <f t="shared" si="10"/>
        <v>239220.11</v>
      </c>
      <c r="L335">
        <f t="shared" si="11"/>
        <v>61595.95</v>
      </c>
    </row>
    <row r="336" spans="1:12" ht="15.75" customHeight="1" x14ac:dyDescent="0.3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  <c r="K336">
        <f t="shared" si="10"/>
        <v>1714.65</v>
      </c>
      <c r="L336">
        <f t="shared" si="11"/>
        <v>-40138.449999999997</v>
      </c>
    </row>
    <row r="337" spans="1:12" ht="15.75" customHeight="1" x14ac:dyDescent="0.3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  <c r="K337">
        <f t="shared" si="10"/>
        <v>142041.59999999998</v>
      </c>
      <c r="L337">
        <f t="shared" si="11"/>
        <v>22033.919999999998</v>
      </c>
    </row>
    <row r="338" spans="1:12" ht="15.75" customHeight="1" x14ac:dyDescent="0.3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  <c r="K338">
        <f t="shared" si="10"/>
        <v>168446.02</v>
      </c>
      <c r="L338">
        <f t="shared" si="11"/>
        <v>166348.41999999998</v>
      </c>
    </row>
    <row r="339" spans="1:12" ht="15.75" customHeight="1" x14ac:dyDescent="0.3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  <c r="K339">
        <f t="shared" si="10"/>
        <v>39441.54</v>
      </c>
      <c r="L339">
        <f t="shared" si="11"/>
        <v>31654.34</v>
      </c>
    </row>
    <row r="340" spans="1:12" ht="15.75" customHeight="1" x14ac:dyDescent="0.3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  <c r="K340">
        <f t="shared" si="10"/>
        <v>124507.98000000001</v>
      </c>
      <c r="L340">
        <f t="shared" si="11"/>
        <v>90692.82</v>
      </c>
    </row>
    <row r="341" spans="1:12" ht="15.75" customHeight="1" x14ac:dyDescent="0.3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  <c r="K341">
        <f t="shared" si="10"/>
        <v>23868</v>
      </c>
      <c r="L341">
        <f t="shared" si="11"/>
        <v>-1535.0400000000004</v>
      </c>
    </row>
    <row r="342" spans="1:12" ht="15.75" customHeight="1" x14ac:dyDescent="0.3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  <c r="K342">
        <f t="shared" si="10"/>
        <v>43110.240000000005</v>
      </c>
      <c r="L342">
        <f t="shared" si="11"/>
        <v>-9291</v>
      </c>
    </row>
    <row r="343" spans="1:12" ht="15.75" customHeight="1" x14ac:dyDescent="0.3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  <c r="K343">
        <f t="shared" si="10"/>
        <v>181704.6</v>
      </c>
      <c r="L343">
        <f t="shared" si="11"/>
        <v>11872.6</v>
      </c>
    </row>
    <row r="344" spans="1:12" ht="15.75" customHeight="1" x14ac:dyDescent="0.3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  <c r="K344">
        <f t="shared" si="10"/>
        <v>57158.64</v>
      </c>
      <c r="L344">
        <f t="shared" si="11"/>
        <v>32094.48</v>
      </c>
    </row>
    <row r="345" spans="1:12" ht="15.75" customHeight="1" x14ac:dyDescent="0.3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  <c r="K345">
        <f t="shared" si="10"/>
        <v>122173.79999999999</v>
      </c>
      <c r="L345">
        <f t="shared" si="11"/>
        <v>119249.13</v>
      </c>
    </row>
    <row r="346" spans="1:12" ht="15.75" customHeight="1" x14ac:dyDescent="0.3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  <c r="K346">
        <f t="shared" si="10"/>
        <v>4606.0199999999995</v>
      </c>
      <c r="L346">
        <f t="shared" si="11"/>
        <v>2544.4799999999996</v>
      </c>
    </row>
    <row r="347" spans="1:12" ht="15.75" customHeight="1" x14ac:dyDescent="0.3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  <c r="K347">
        <f t="shared" si="10"/>
        <v>22726.06</v>
      </c>
      <c r="L347">
        <f t="shared" si="11"/>
        <v>17373.810000000001</v>
      </c>
    </row>
    <row r="348" spans="1:12" ht="15.75" customHeight="1" x14ac:dyDescent="0.3">
      <c r="A348" s="2" t="s">
        <v>375</v>
      </c>
      <c r="B348" s="7" t="s">
        <v>17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  <c r="K348">
        <f t="shared" si="10"/>
        <v>2971.6800000000003</v>
      </c>
      <c r="L348">
        <f t="shared" si="11"/>
        <v>1623.6000000000001</v>
      </c>
    </row>
    <row r="349" spans="1:12" ht="15.75" customHeight="1" x14ac:dyDescent="0.3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  <c r="K349">
        <f t="shared" si="10"/>
        <v>23272.32</v>
      </c>
      <c r="L349">
        <f t="shared" si="11"/>
        <v>-17847.999999999996</v>
      </c>
    </row>
    <row r="350" spans="1:12" ht="15.75" customHeight="1" x14ac:dyDescent="0.3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  <c r="K350">
        <f t="shared" si="10"/>
        <v>27269.280000000002</v>
      </c>
      <c r="L350">
        <f t="shared" si="11"/>
        <v>1357.2000000000021</v>
      </c>
    </row>
    <row r="351" spans="1:12" ht="15.75" customHeight="1" x14ac:dyDescent="0.3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  <c r="K351">
        <f t="shared" si="10"/>
        <v>74005.25</v>
      </c>
      <c r="L351">
        <f t="shared" si="11"/>
        <v>-59988.749999999993</v>
      </c>
    </row>
    <row r="352" spans="1:12" ht="15.75" customHeight="1" x14ac:dyDescent="0.3">
      <c r="B352" s="7"/>
      <c r="D352" s="7"/>
      <c r="G352" s="3"/>
      <c r="H352" s="10"/>
      <c r="I352" s="10"/>
      <c r="J352" s="10"/>
    </row>
    <row r="353" spans="2:10" ht="15.75" customHeight="1" x14ac:dyDescent="0.3">
      <c r="B353" s="7"/>
      <c r="D353" s="7"/>
      <c r="G353" s="3"/>
      <c r="H353" s="10"/>
      <c r="I353" s="10"/>
      <c r="J353" s="10"/>
    </row>
    <row r="354" spans="2:10" ht="15.75" customHeight="1" x14ac:dyDescent="0.3">
      <c r="B354" s="7"/>
      <c r="D354" s="7"/>
      <c r="G354" s="3"/>
      <c r="H354" s="10"/>
      <c r="I354" s="10"/>
      <c r="J354" s="10"/>
    </row>
    <row r="355" spans="2:10" ht="15.75" customHeight="1" x14ac:dyDescent="0.3">
      <c r="B355" s="7"/>
      <c r="D355" s="7"/>
      <c r="G355" s="3"/>
      <c r="H355" s="10"/>
      <c r="I355" s="10"/>
      <c r="J355" s="10"/>
    </row>
    <row r="356" spans="2:10" ht="15.75" customHeight="1" x14ac:dyDescent="0.3">
      <c r="B356" s="7"/>
      <c r="D356" s="7"/>
      <c r="G356" s="3"/>
      <c r="H356" s="10"/>
      <c r="I356" s="10"/>
      <c r="J356" s="10"/>
    </row>
    <row r="357" spans="2:10" ht="15.75" customHeight="1" x14ac:dyDescent="0.3">
      <c r="B357" s="7"/>
      <c r="D357" s="7"/>
      <c r="G357" s="3"/>
      <c r="H357" s="10"/>
      <c r="I357" s="10"/>
      <c r="J357" s="10"/>
    </row>
    <row r="358" spans="2:10" ht="15.75" customHeight="1" x14ac:dyDescent="0.3">
      <c r="B358" s="7"/>
      <c r="D358" s="7"/>
      <c r="G358" s="3"/>
      <c r="H358" s="10"/>
      <c r="I358" s="10"/>
      <c r="J358" s="10"/>
    </row>
    <row r="359" spans="2:10" ht="15.75" customHeight="1" x14ac:dyDescent="0.3">
      <c r="B359" s="7"/>
      <c r="D359" s="7"/>
      <c r="G359" s="3"/>
      <c r="H359" s="10"/>
      <c r="I359" s="10"/>
      <c r="J359" s="10"/>
    </row>
    <row r="360" spans="2:10" ht="15.75" customHeight="1" x14ac:dyDescent="0.3">
      <c r="B360" s="7"/>
      <c r="D360" s="7"/>
      <c r="G360" s="3"/>
      <c r="H360" s="10"/>
      <c r="I360" s="10"/>
      <c r="J360" s="10"/>
    </row>
    <row r="361" spans="2:10" ht="15.75" customHeight="1" x14ac:dyDescent="0.3">
      <c r="B361" s="7"/>
      <c r="D361" s="7"/>
      <c r="G361" s="3"/>
      <c r="H361" s="10"/>
      <c r="I361" s="10"/>
      <c r="J361" s="10"/>
    </row>
    <row r="362" spans="2:10" ht="15.75" customHeight="1" x14ac:dyDescent="0.3">
      <c r="B362" s="7"/>
      <c r="D362" s="7"/>
      <c r="G362" s="3"/>
      <c r="H362" s="10"/>
      <c r="I362" s="10"/>
      <c r="J362" s="10"/>
    </row>
    <row r="363" spans="2:10" ht="15.75" customHeight="1" x14ac:dyDescent="0.3">
      <c r="B363" s="7"/>
      <c r="D363" s="7"/>
      <c r="G363" s="3"/>
      <c r="H363" s="10"/>
      <c r="I363" s="10"/>
      <c r="J363" s="10"/>
    </row>
    <row r="364" spans="2:10" ht="15.75" customHeight="1" x14ac:dyDescent="0.3">
      <c r="B364" s="7"/>
      <c r="D364" s="7"/>
      <c r="G364" s="3"/>
      <c r="H364" s="10"/>
      <c r="I364" s="10"/>
      <c r="J364" s="10"/>
    </row>
    <row r="365" spans="2:10" ht="15.75" customHeight="1" x14ac:dyDescent="0.3">
      <c r="B365" s="7"/>
      <c r="D365" s="7"/>
      <c r="G365" s="3"/>
      <c r="H365" s="10"/>
      <c r="I365" s="10"/>
      <c r="J365" s="10"/>
    </row>
    <row r="366" spans="2:10" ht="15.75" customHeight="1" x14ac:dyDescent="0.3">
      <c r="B366" s="7"/>
      <c r="D366" s="7"/>
      <c r="G366" s="3"/>
      <c r="H366" s="10"/>
      <c r="I366" s="10"/>
      <c r="J366" s="10"/>
    </row>
    <row r="367" spans="2:10" ht="15.75" customHeight="1" x14ac:dyDescent="0.3">
      <c r="B367" s="7"/>
      <c r="D367" s="7"/>
      <c r="G367" s="3"/>
      <c r="H367" s="10"/>
      <c r="I367" s="10"/>
      <c r="J367" s="10"/>
    </row>
    <row r="368" spans="2:10" ht="15.75" customHeight="1" x14ac:dyDescent="0.3">
      <c r="B368" s="7"/>
      <c r="D368" s="7"/>
      <c r="G368" s="3"/>
      <c r="H368" s="10"/>
      <c r="I368" s="10"/>
      <c r="J368" s="10"/>
    </row>
    <row r="369" spans="2:10" ht="15.75" customHeight="1" x14ac:dyDescent="0.3">
      <c r="B369" s="7"/>
      <c r="D369" s="7"/>
      <c r="G369" s="3"/>
      <c r="H369" s="10"/>
      <c r="I369" s="10"/>
      <c r="J369" s="10"/>
    </row>
    <row r="370" spans="2:10" ht="15.75" customHeight="1" x14ac:dyDescent="0.3">
      <c r="B370" s="7"/>
      <c r="D370" s="7"/>
      <c r="G370" s="3"/>
      <c r="H370" s="10"/>
      <c r="I370" s="10"/>
      <c r="J370" s="10"/>
    </row>
    <row r="371" spans="2:10" ht="15.75" customHeight="1" x14ac:dyDescent="0.3">
      <c r="B371" s="7"/>
      <c r="D371" s="7"/>
      <c r="G371" s="3"/>
      <c r="H371" s="10"/>
      <c r="I371" s="10"/>
      <c r="J371" s="10"/>
    </row>
    <row r="372" spans="2:10" ht="15.75" customHeight="1" x14ac:dyDescent="0.3">
      <c r="B372" s="7"/>
      <c r="D372" s="7"/>
      <c r="G372" s="3"/>
      <c r="H372" s="10"/>
      <c r="I372" s="10"/>
      <c r="J372" s="10"/>
    </row>
    <row r="373" spans="2:10" ht="15.75" customHeight="1" x14ac:dyDescent="0.3">
      <c r="B373" s="7"/>
      <c r="D373" s="7"/>
      <c r="G373" s="3"/>
      <c r="H373" s="10"/>
      <c r="I373" s="10"/>
      <c r="J373" s="10"/>
    </row>
    <row r="374" spans="2:10" ht="15.75" customHeight="1" x14ac:dyDescent="0.3">
      <c r="B374" s="7"/>
      <c r="D374" s="7"/>
      <c r="G374" s="3"/>
      <c r="H374" s="10"/>
      <c r="I374" s="10"/>
      <c r="J374" s="10"/>
    </row>
    <row r="375" spans="2:10" ht="15.75" customHeight="1" x14ac:dyDescent="0.3">
      <c r="B375" s="7"/>
      <c r="D375" s="7"/>
      <c r="G375" s="3"/>
      <c r="H375" s="10"/>
      <c r="I375" s="10"/>
      <c r="J375" s="10"/>
    </row>
    <row r="376" spans="2:10" ht="15.75" customHeight="1" x14ac:dyDescent="0.3">
      <c r="B376" s="7"/>
      <c r="D376" s="7"/>
      <c r="G376" s="3"/>
      <c r="H376" s="10"/>
      <c r="I376" s="10"/>
      <c r="J376" s="10"/>
    </row>
    <row r="377" spans="2:10" ht="15.75" customHeight="1" x14ac:dyDescent="0.3">
      <c r="B377" s="7"/>
      <c r="D377" s="7"/>
      <c r="G377" s="3"/>
      <c r="H377" s="10"/>
      <c r="I377" s="10"/>
      <c r="J377" s="10"/>
    </row>
    <row r="378" spans="2:10" ht="15.75" customHeight="1" x14ac:dyDescent="0.3">
      <c r="B378" s="7"/>
      <c r="D378" s="7"/>
      <c r="G378" s="3"/>
      <c r="H378" s="10"/>
      <c r="I378" s="10"/>
      <c r="J378" s="10"/>
    </row>
    <row r="379" spans="2:10" ht="15.75" customHeight="1" x14ac:dyDescent="0.3">
      <c r="B379" s="7"/>
      <c r="D379" s="7"/>
      <c r="G379" s="3"/>
      <c r="H379" s="10"/>
      <c r="I379" s="10"/>
      <c r="J379" s="10"/>
    </row>
    <row r="380" spans="2:10" ht="15.75" customHeight="1" x14ac:dyDescent="0.3">
      <c r="B380" s="7"/>
      <c r="D380" s="7"/>
      <c r="G380" s="3"/>
      <c r="H380" s="10"/>
      <c r="I380" s="10"/>
      <c r="J380" s="10"/>
    </row>
    <row r="381" spans="2:10" ht="15.75" customHeight="1" x14ac:dyDescent="0.3">
      <c r="B381" s="7"/>
      <c r="D381" s="7"/>
      <c r="G381" s="3"/>
      <c r="H381" s="10"/>
      <c r="I381" s="10"/>
      <c r="J381" s="10"/>
    </row>
    <row r="382" spans="2:10" ht="15.75" customHeight="1" x14ac:dyDescent="0.3">
      <c r="B382" s="7"/>
      <c r="D382" s="7"/>
      <c r="G382" s="3"/>
      <c r="H382" s="10"/>
      <c r="I382" s="10"/>
      <c r="J382" s="10"/>
    </row>
    <row r="383" spans="2:10" ht="15.75" customHeight="1" x14ac:dyDescent="0.3">
      <c r="B383" s="7"/>
      <c r="D383" s="7"/>
      <c r="G383" s="3"/>
      <c r="H383" s="10"/>
      <c r="I383" s="10"/>
      <c r="J383" s="10"/>
    </row>
    <row r="384" spans="2:10" ht="15.75" customHeight="1" x14ac:dyDescent="0.3">
      <c r="B384" s="7"/>
      <c r="D384" s="7"/>
      <c r="G384" s="3"/>
      <c r="H384" s="10"/>
      <c r="I384" s="10"/>
      <c r="J384" s="10"/>
    </row>
    <row r="385" spans="2:10" ht="15.75" customHeight="1" x14ac:dyDescent="0.3">
      <c r="B385" s="7"/>
      <c r="D385" s="7"/>
      <c r="G385" s="3"/>
      <c r="H385" s="10"/>
      <c r="I385" s="10"/>
      <c r="J385" s="10"/>
    </row>
    <row r="386" spans="2:10" ht="15.75" customHeight="1" x14ac:dyDescent="0.3">
      <c r="B386" s="7"/>
      <c r="D386" s="7"/>
      <c r="G386" s="3"/>
      <c r="H386" s="10"/>
      <c r="I386" s="10"/>
      <c r="J386" s="10"/>
    </row>
    <row r="387" spans="2:10" ht="15.75" customHeight="1" x14ac:dyDescent="0.3">
      <c r="B387" s="7"/>
      <c r="D387" s="7"/>
      <c r="G387" s="3"/>
      <c r="H387" s="10"/>
      <c r="I387" s="10"/>
      <c r="J387" s="10"/>
    </row>
    <row r="388" spans="2:10" ht="15.75" customHeight="1" x14ac:dyDescent="0.3">
      <c r="B388" s="7"/>
      <c r="D388" s="7"/>
      <c r="G388" s="3"/>
      <c r="H388" s="10"/>
      <c r="I388" s="10"/>
      <c r="J388" s="10"/>
    </row>
    <row r="389" spans="2:10" ht="15.75" customHeight="1" x14ac:dyDescent="0.3">
      <c r="B389" s="7"/>
      <c r="D389" s="7"/>
      <c r="G389" s="3"/>
      <c r="H389" s="10"/>
      <c r="I389" s="10"/>
      <c r="J389" s="10"/>
    </row>
    <row r="390" spans="2:10" ht="15.75" customHeight="1" x14ac:dyDescent="0.3">
      <c r="B390" s="7"/>
      <c r="D390" s="7"/>
      <c r="G390" s="3"/>
      <c r="H390" s="10"/>
      <c r="I390" s="10"/>
      <c r="J390" s="10"/>
    </row>
    <row r="391" spans="2:10" ht="15.75" customHeight="1" x14ac:dyDescent="0.3">
      <c r="B391" s="7"/>
      <c r="D391" s="7"/>
      <c r="G391" s="3"/>
      <c r="H391" s="10"/>
      <c r="I391" s="10"/>
      <c r="J391" s="10"/>
    </row>
    <row r="392" spans="2:10" ht="15.75" customHeight="1" x14ac:dyDescent="0.3">
      <c r="B392" s="7"/>
      <c r="D392" s="7"/>
      <c r="G392" s="3"/>
      <c r="H392" s="10"/>
      <c r="I392" s="10"/>
      <c r="J392" s="10"/>
    </row>
    <row r="393" spans="2:10" ht="15.75" customHeight="1" x14ac:dyDescent="0.3">
      <c r="B393" s="7"/>
      <c r="D393" s="7"/>
      <c r="G393" s="3"/>
      <c r="H393" s="10"/>
      <c r="I393" s="10"/>
      <c r="J393" s="10"/>
    </row>
    <row r="394" spans="2:10" ht="15.75" customHeight="1" x14ac:dyDescent="0.3">
      <c r="B394" s="7"/>
      <c r="D394" s="7"/>
      <c r="G394" s="3"/>
      <c r="H394" s="10"/>
      <c r="I394" s="10"/>
      <c r="J394" s="10"/>
    </row>
    <row r="395" spans="2:10" ht="15.75" customHeight="1" x14ac:dyDescent="0.3">
      <c r="B395" s="7"/>
      <c r="D395" s="7"/>
      <c r="G395" s="3"/>
      <c r="H395" s="10"/>
      <c r="I395" s="10"/>
      <c r="J395" s="10"/>
    </row>
    <row r="396" spans="2:10" ht="15.75" customHeight="1" x14ac:dyDescent="0.3">
      <c r="B396" s="7"/>
      <c r="D396" s="7"/>
      <c r="G396" s="3"/>
      <c r="H396" s="10"/>
      <c r="I396" s="10"/>
      <c r="J396" s="10"/>
    </row>
    <row r="397" spans="2:10" ht="15.75" customHeight="1" x14ac:dyDescent="0.3">
      <c r="B397" s="7"/>
      <c r="D397" s="7"/>
      <c r="G397" s="3"/>
      <c r="H397" s="10"/>
      <c r="I397" s="10"/>
      <c r="J397" s="10"/>
    </row>
    <row r="398" spans="2:10" ht="15.75" customHeight="1" x14ac:dyDescent="0.3">
      <c r="B398" s="7"/>
      <c r="D398" s="7"/>
      <c r="G398" s="3"/>
      <c r="H398" s="10"/>
      <c r="I398" s="10"/>
      <c r="J398" s="10"/>
    </row>
    <row r="399" spans="2:10" ht="15.75" customHeight="1" x14ac:dyDescent="0.3">
      <c r="B399" s="7"/>
      <c r="D399" s="7"/>
      <c r="G399" s="3"/>
      <c r="H399" s="10"/>
      <c r="I399" s="10"/>
      <c r="J399" s="10"/>
    </row>
    <row r="400" spans="2:10" ht="15.75" customHeight="1" x14ac:dyDescent="0.3">
      <c r="B400" s="7"/>
      <c r="D400" s="7"/>
      <c r="G400" s="3"/>
      <c r="H400" s="10"/>
      <c r="I400" s="10"/>
      <c r="J400" s="10"/>
    </row>
    <row r="401" spans="2:10" ht="15.75" customHeight="1" x14ac:dyDescent="0.3">
      <c r="B401" s="7"/>
      <c r="D401" s="7"/>
      <c r="G401" s="3"/>
      <c r="H401" s="10"/>
      <c r="I401" s="10"/>
      <c r="J401" s="10"/>
    </row>
    <row r="402" spans="2:10" ht="15.75" customHeight="1" x14ac:dyDescent="0.3">
      <c r="B402" s="7"/>
      <c r="D402" s="7"/>
      <c r="G402" s="3"/>
      <c r="H402" s="10"/>
      <c r="I402" s="10"/>
      <c r="J402" s="10"/>
    </row>
    <row r="403" spans="2:10" ht="15.75" customHeight="1" x14ac:dyDescent="0.3">
      <c r="B403" s="7"/>
      <c r="D403" s="7"/>
      <c r="G403" s="3"/>
      <c r="H403" s="10"/>
      <c r="I403" s="10"/>
      <c r="J403" s="10"/>
    </row>
    <row r="404" spans="2:10" ht="15.75" customHeight="1" x14ac:dyDescent="0.3">
      <c r="B404" s="7"/>
      <c r="D404" s="7"/>
      <c r="G404" s="3"/>
      <c r="H404" s="10"/>
      <c r="I404" s="10"/>
      <c r="J404" s="10"/>
    </row>
    <row r="405" spans="2:10" ht="15.75" customHeight="1" x14ac:dyDescent="0.3">
      <c r="B405" s="7"/>
      <c r="D405" s="7"/>
      <c r="G405" s="3"/>
      <c r="H405" s="10"/>
      <c r="I405" s="10"/>
      <c r="J405" s="10"/>
    </row>
    <row r="406" spans="2:10" ht="15.75" customHeight="1" x14ac:dyDescent="0.3">
      <c r="B406" s="7"/>
      <c r="D406" s="7"/>
      <c r="G406" s="3"/>
      <c r="H406" s="10"/>
      <c r="I406" s="10"/>
      <c r="J406" s="10"/>
    </row>
    <row r="407" spans="2:10" ht="15.75" customHeight="1" x14ac:dyDescent="0.3">
      <c r="B407" s="7"/>
      <c r="D407" s="7"/>
      <c r="G407" s="3"/>
      <c r="H407" s="10"/>
      <c r="I407" s="10"/>
      <c r="J407" s="10"/>
    </row>
    <row r="408" spans="2:10" ht="15.75" customHeight="1" x14ac:dyDescent="0.3">
      <c r="B408" s="7"/>
      <c r="D408" s="7"/>
      <c r="G408" s="3"/>
      <c r="H408" s="10"/>
      <c r="I408" s="10"/>
      <c r="J408" s="10"/>
    </row>
    <row r="409" spans="2:10" ht="15.75" customHeight="1" x14ac:dyDescent="0.3">
      <c r="B409" s="7"/>
      <c r="D409" s="7"/>
      <c r="G409" s="3"/>
      <c r="H409" s="10"/>
      <c r="I409" s="10"/>
      <c r="J409" s="10"/>
    </row>
    <row r="410" spans="2:10" ht="15.75" customHeight="1" x14ac:dyDescent="0.3">
      <c r="B410" s="7"/>
      <c r="D410" s="7"/>
      <c r="G410" s="3"/>
      <c r="H410" s="10"/>
      <c r="I410" s="10"/>
      <c r="J410" s="10"/>
    </row>
    <row r="411" spans="2:10" ht="15.75" customHeight="1" x14ac:dyDescent="0.3">
      <c r="B411" s="7"/>
      <c r="D411" s="7"/>
      <c r="G411" s="3"/>
      <c r="H411" s="10"/>
      <c r="I411" s="10"/>
      <c r="J411" s="10"/>
    </row>
    <row r="412" spans="2:10" ht="15.75" customHeight="1" x14ac:dyDescent="0.3">
      <c r="B412" s="7"/>
      <c r="D412" s="7"/>
      <c r="G412" s="3"/>
      <c r="H412" s="10"/>
      <c r="I412" s="10"/>
      <c r="J412" s="10"/>
    </row>
    <row r="413" spans="2:10" ht="15.75" customHeight="1" x14ac:dyDescent="0.3">
      <c r="B413" s="7"/>
      <c r="D413" s="7"/>
      <c r="G413" s="3"/>
      <c r="H413" s="10"/>
      <c r="I413" s="10"/>
      <c r="J413" s="10"/>
    </row>
    <row r="414" spans="2:10" ht="15.75" customHeight="1" x14ac:dyDescent="0.3">
      <c r="B414" s="7"/>
      <c r="D414" s="7"/>
      <c r="G414" s="3"/>
      <c r="H414" s="10"/>
      <c r="I414" s="10"/>
      <c r="J414" s="10"/>
    </row>
    <row r="415" spans="2:10" ht="15.75" customHeight="1" x14ac:dyDescent="0.3">
      <c r="B415" s="7"/>
      <c r="D415" s="7"/>
      <c r="G415" s="3"/>
      <c r="H415" s="10"/>
      <c r="I415" s="10"/>
      <c r="J415" s="10"/>
    </row>
    <row r="416" spans="2:10" ht="15.75" customHeight="1" x14ac:dyDescent="0.3">
      <c r="B416" s="7"/>
      <c r="D416" s="7"/>
      <c r="G416" s="3"/>
      <c r="H416" s="10"/>
      <c r="I416" s="10"/>
      <c r="J416" s="10"/>
    </row>
    <row r="417" spans="2:10" ht="15.75" customHeight="1" x14ac:dyDescent="0.3">
      <c r="B417" s="7"/>
      <c r="D417" s="7"/>
      <c r="G417" s="3"/>
      <c r="H417" s="10"/>
      <c r="I417" s="10"/>
      <c r="J417" s="10"/>
    </row>
    <row r="418" spans="2:10" ht="15.75" customHeight="1" x14ac:dyDescent="0.3">
      <c r="B418" s="7"/>
      <c r="D418" s="7"/>
      <c r="G418" s="3"/>
      <c r="H418" s="10"/>
      <c r="I418" s="10"/>
      <c r="J418" s="10"/>
    </row>
    <row r="419" spans="2:10" ht="15.75" customHeight="1" x14ac:dyDescent="0.3">
      <c r="B419" s="7"/>
      <c r="D419" s="7"/>
      <c r="G419" s="3"/>
      <c r="H419" s="10"/>
      <c r="I419" s="10"/>
      <c r="J419" s="10"/>
    </row>
    <row r="420" spans="2:10" ht="15.75" customHeight="1" x14ac:dyDescent="0.3">
      <c r="B420" s="7"/>
      <c r="D420" s="7"/>
      <c r="G420" s="3"/>
      <c r="H420" s="10"/>
      <c r="I420" s="10"/>
      <c r="J420" s="10"/>
    </row>
    <row r="421" spans="2:10" ht="15.75" customHeight="1" x14ac:dyDescent="0.3">
      <c r="B421" s="7"/>
      <c r="D421" s="7"/>
      <c r="G421" s="3"/>
      <c r="H421" s="10"/>
      <c r="I421" s="10"/>
      <c r="J421" s="10"/>
    </row>
    <row r="422" spans="2:10" ht="15.75" customHeight="1" x14ac:dyDescent="0.3">
      <c r="B422" s="7"/>
      <c r="D422" s="7"/>
      <c r="G422" s="3"/>
      <c r="H422" s="10"/>
      <c r="I422" s="10"/>
      <c r="J422" s="10"/>
    </row>
    <row r="423" spans="2:10" ht="15.75" customHeight="1" x14ac:dyDescent="0.3">
      <c r="B423" s="7"/>
      <c r="D423" s="7"/>
      <c r="G423" s="3"/>
      <c r="H423" s="10"/>
      <c r="I423" s="10"/>
      <c r="J423" s="10"/>
    </row>
    <row r="424" spans="2:10" ht="15.75" customHeight="1" x14ac:dyDescent="0.3">
      <c r="B424" s="7"/>
      <c r="D424" s="7"/>
      <c r="G424" s="3"/>
      <c r="H424" s="10"/>
      <c r="I424" s="10"/>
      <c r="J424" s="10"/>
    </row>
    <row r="425" spans="2:10" ht="15.75" customHeight="1" x14ac:dyDescent="0.3">
      <c r="B425" s="7"/>
      <c r="D425" s="7"/>
      <c r="G425" s="3"/>
      <c r="H425" s="10"/>
      <c r="I425" s="10"/>
      <c r="J425" s="10"/>
    </row>
    <row r="426" spans="2:10" ht="15.75" customHeight="1" x14ac:dyDescent="0.3">
      <c r="B426" s="7"/>
      <c r="D426" s="7"/>
      <c r="G426" s="3"/>
      <c r="H426" s="10"/>
      <c r="I426" s="10"/>
      <c r="J426" s="10"/>
    </row>
    <row r="427" spans="2:10" ht="15.75" customHeight="1" x14ac:dyDescent="0.3">
      <c r="B427" s="7"/>
      <c r="D427" s="7"/>
      <c r="G427" s="3"/>
      <c r="H427" s="10"/>
      <c r="I427" s="10"/>
      <c r="J427" s="10"/>
    </row>
    <row r="428" spans="2:10" ht="15.75" customHeight="1" x14ac:dyDescent="0.3">
      <c r="B428" s="7"/>
      <c r="D428" s="7"/>
      <c r="G428" s="3"/>
      <c r="H428" s="10"/>
      <c r="I428" s="10"/>
      <c r="J428" s="10"/>
    </row>
    <row r="429" spans="2:10" ht="15.75" customHeight="1" x14ac:dyDescent="0.3">
      <c r="B429" s="7"/>
      <c r="D429" s="7"/>
      <c r="G429" s="3"/>
      <c r="H429" s="10"/>
      <c r="I429" s="10"/>
      <c r="J429" s="10"/>
    </row>
    <row r="430" spans="2:10" ht="15.75" customHeight="1" x14ac:dyDescent="0.3">
      <c r="B430" s="7"/>
      <c r="D430" s="7"/>
      <c r="G430" s="3"/>
      <c r="H430" s="10"/>
      <c r="I430" s="10"/>
      <c r="J430" s="10"/>
    </row>
    <row r="431" spans="2:10" ht="15.75" customHeight="1" x14ac:dyDescent="0.3">
      <c r="B431" s="7"/>
      <c r="D431" s="7"/>
      <c r="G431" s="3"/>
      <c r="H431" s="10"/>
      <c r="I431" s="10"/>
      <c r="J431" s="10"/>
    </row>
    <row r="432" spans="2:10" ht="15.75" customHeight="1" x14ac:dyDescent="0.3">
      <c r="B432" s="7"/>
      <c r="D432" s="7"/>
      <c r="G432" s="3"/>
      <c r="H432" s="10"/>
      <c r="I432" s="10"/>
      <c r="J432" s="10"/>
    </row>
    <row r="433" spans="2:10" ht="15.75" customHeight="1" x14ac:dyDescent="0.3">
      <c r="B433" s="7"/>
      <c r="D433" s="7"/>
      <c r="G433" s="3"/>
      <c r="H433" s="10"/>
      <c r="I433" s="10"/>
      <c r="J433" s="10"/>
    </row>
    <row r="434" spans="2:10" ht="15.75" customHeight="1" x14ac:dyDescent="0.3">
      <c r="B434" s="7"/>
      <c r="D434" s="7"/>
      <c r="G434" s="3"/>
      <c r="H434" s="10"/>
      <c r="I434" s="10"/>
      <c r="J434" s="10"/>
    </row>
    <row r="435" spans="2:10" ht="15.75" customHeight="1" x14ac:dyDescent="0.3">
      <c r="B435" s="7"/>
      <c r="D435" s="7"/>
      <c r="G435" s="3"/>
      <c r="H435" s="10"/>
      <c r="I435" s="10"/>
      <c r="J435" s="10"/>
    </row>
    <row r="436" spans="2:10" ht="15.75" customHeight="1" x14ac:dyDescent="0.3">
      <c r="B436" s="7"/>
      <c r="D436" s="7"/>
      <c r="G436" s="3"/>
      <c r="H436" s="10"/>
      <c r="I436" s="10"/>
      <c r="J436" s="10"/>
    </row>
    <row r="437" spans="2:10" ht="15.75" customHeight="1" x14ac:dyDescent="0.3">
      <c r="B437" s="7"/>
      <c r="D437" s="7"/>
      <c r="G437" s="3"/>
      <c r="H437" s="10"/>
      <c r="I437" s="10"/>
      <c r="J437" s="10"/>
    </row>
    <row r="438" spans="2:10" ht="15.75" customHeight="1" x14ac:dyDescent="0.3">
      <c r="B438" s="7"/>
      <c r="D438" s="7"/>
      <c r="G438" s="3"/>
      <c r="H438" s="10"/>
      <c r="I438" s="10"/>
      <c r="J438" s="10"/>
    </row>
    <row r="439" spans="2:10" ht="15.75" customHeight="1" x14ac:dyDescent="0.3">
      <c r="B439" s="7"/>
      <c r="D439" s="7"/>
      <c r="G439" s="3"/>
      <c r="H439" s="10"/>
      <c r="I439" s="10"/>
      <c r="J439" s="10"/>
    </row>
    <row r="440" spans="2:10" ht="15.75" customHeight="1" x14ac:dyDescent="0.3">
      <c r="B440" s="7"/>
      <c r="D440" s="7"/>
      <c r="G440" s="3"/>
      <c r="H440" s="10"/>
      <c r="I440" s="10"/>
      <c r="J440" s="10"/>
    </row>
    <row r="441" spans="2:10" ht="15.75" customHeight="1" x14ac:dyDescent="0.3">
      <c r="B441" s="7"/>
      <c r="D441" s="7"/>
      <c r="G441" s="3"/>
      <c r="H441" s="10"/>
      <c r="I441" s="10"/>
      <c r="J441" s="10"/>
    </row>
    <row r="442" spans="2:10" ht="15.75" customHeight="1" x14ac:dyDescent="0.3">
      <c r="B442" s="7"/>
      <c r="D442" s="7"/>
      <c r="G442" s="3"/>
      <c r="H442" s="10"/>
      <c r="I442" s="10"/>
      <c r="J442" s="10"/>
    </row>
    <row r="443" spans="2:10" ht="15.75" customHeight="1" x14ac:dyDescent="0.3">
      <c r="B443" s="7"/>
      <c r="D443" s="7"/>
      <c r="G443" s="3"/>
      <c r="H443" s="10"/>
      <c r="I443" s="10"/>
      <c r="J443" s="10"/>
    </row>
    <row r="444" spans="2:10" ht="15.75" customHeight="1" x14ac:dyDescent="0.3">
      <c r="B444" s="7"/>
      <c r="D444" s="7"/>
      <c r="G444" s="3"/>
      <c r="H444" s="10"/>
      <c r="I444" s="10"/>
      <c r="J444" s="10"/>
    </row>
    <row r="445" spans="2:10" ht="15.75" customHeight="1" x14ac:dyDescent="0.3">
      <c r="B445" s="7"/>
      <c r="D445" s="7"/>
      <c r="G445" s="3"/>
      <c r="H445" s="10"/>
      <c r="I445" s="10"/>
      <c r="J445" s="10"/>
    </row>
    <row r="446" spans="2:10" ht="15.75" customHeight="1" x14ac:dyDescent="0.3">
      <c r="B446" s="7"/>
      <c r="D446" s="7"/>
      <c r="G446" s="3"/>
      <c r="H446" s="10"/>
      <c r="I446" s="10"/>
      <c r="J446" s="10"/>
    </row>
    <row r="447" spans="2:10" ht="15.75" customHeight="1" x14ac:dyDescent="0.3">
      <c r="B447" s="7"/>
      <c r="D447" s="7"/>
      <c r="G447" s="3"/>
      <c r="H447" s="10"/>
      <c r="I447" s="10"/>
      <c r="J447" s="10"/>
    </row>
    <row r="448" spans="2:10" ht="15.75" customHeight="1" x14ac:dyDescent="0.3">
      <c r="B448" s="7"/>
      <c r="D448" s="7"/>
      <c r="G448" s="3"/>
      <c r="H448" s="10"/>
      <c r="I448" s="10"/>
      <c r="J448" s="10"/>
    </row>
    <row r="449" spans="2:10" ht="15.75" customHeight="1" x14ac:dyDescent="0.3">
      <c r="B449" s="7"/>
      <c r="D449" s="7"/>
      <c r="G449" s="3"/>
      <c r="H449" s="10"/>
      <c r="I449" s="10"/>
      <c r="J449" s="10"/>
    </row>
    <row r="450" spans="2:10" ht="15.75" customHeight="1" x14ac:dyDescent="0.3">
      <c r="B450" s="7"/>
      <c r="D450" s="7"/>
      <c r="G450" s="3"/>
      <c r="H450" s="10"/>
      <c r="I450" s="10"/>
      <c r="J450" s="10"/>
    </row>
    <row r="451" spans="2:10" ht="15.75" customHeight="1" x14ac:dyDescent="0.3">
      <c r="B451" s="7"/>
      <c r="D451" s="7"/>
      <c r="G451" s="3"/>
      <c r="H451" s="10"/>
      <c r="I451" s="10"/>
      <c r="J451" s="10"/>
    </row>
    <row r="452" spans="2:10" ht="15.75" customHeight="1" x14ac:dyDescent="0.3">
      <c r="B452" s="7"/>
      <c r="D452" s="7"/>
      <c r="G452" s="3"/>
      <c r="H452" s="10"/>
      <c r="I452" s="10"/>
      <c r="J452" s="10"/>
    </row>
    <row r="453" spans="2:10" ht="15.75" customHeight="1" x14ac:dyDescent="0.3">
      <c r="B453" s="7"/>
      <c r="D453" s="7"/>
      <c r="G453" s="3"/>
      <c r="H453" s="10"/>
      <c r="I453" s="10"/>
      <c r="J453" s="10"/>
    </row>
    <row r="454" spans="2:10" ht="15.75" customHeight="1" x14ac:dyDescent="0.3">
      <c r="B454" s="7"/>
      <c r="D454" s="7"/>
      <c r="G454" s="3"/>
      <c r="H454" s="10"/>
      <c r="I454" s="10"/>
      <c r="J454" s="10"/>
    </row>
    <row r="455" spans="2:10" ht="15.75" customHeight="1" x14ac:dyDescent="0.3">
      <c r="B455" s="7"/>
      <c r="D455" s="7"/>
      <c r="G455" s="3"/>
      <c r="H455" s="10"/>
      <c r="I455" s="10"/>
      <c r="J455" s="10"/>
    </row>
    <row r="456" spans="2:10" ht="15.75" customHeight="1" x14ac:dyDescent="0.3">
      <c r="B456" s="7"/>
      <c r="D456" s="7"/>
      <c r="G456" s="3"/>
      <c r="H456" s="10"/>
      <c r="I456" s="10"/>
      <c r="J456" s="10"/>
    </row>
    <row r="457" spans="2:10" ht="15.75" customHeight="1" x14ac:dyDescent="0.3">
      <c r="B457" s="7"/>
      <c r="D457" s="7"/>
      <c r="G457" s="3"/>
      <c r="H457" s="10"/>
      <c r="I457" s="10"/>
      <c r="J457" s="10"/>
    </row>
    <row r="458" spans="2:10" ht="15.75" customHeight="1" x14ac:dyDescent="0.3">
      <c r="B458" s="7"/>
      <c r="D458" s="7"/>
      <c r="G458" s="3"/>
      <c r="H458" s="10"/>
      <c r="I458" s="10"/>
      <c r="J458" s="10"/>
    </row>
    <row r="459" spans="2:10" ht="15.75" customHeight="1" x14ac:dyDescent="0.3">
      <c r="B459" s="7"/>
      <c r="D459" s="7"/>
      <c r="G459" s="3"/>
      <c r="H459" s="10"/>
      <c r="I459" s="10"/>
      <c r="J459" s="10"/>
    </row>
    <row r="460" spans="2:10" ht="15.75" customHeight="1" x14ac:dyDescent="0.3">
      <c r="B460" s="7"/>
      <c r="D460" s="7"/>
      <c r="G460" s="3"/>
      <c r="H460" s="10"/>
      <c r="I460" s="10"/>
      <c r="J460" s="10"/>
    </row>
    <row r="461" spans="2:10" ht="15.75" customHeight="1" x14ac:dyDescent="0.3">
      <c r="B461" s="7"/>
      <c r="D461" s="7"/>
      <c r="G461" s="3"/>
      <c r="H461" s="10"/>
      <c r="I461" s="10"/>
      <c r="J461" s="10"/>
    </row>
    <row r="462" spans="2:10" ht="15.75" customHeight="1" x14ac:dyDescent="0.3">
      <c r="B462" s="7"/>
      <c r="D462" s="7"/>
      <c r="G462" s="3"/>
      <c r="H462" s="10"/>
      <c r="I462" s="10"/>
      <c r="J462" s="10"/>
    </row>
    <row r="463" spans="2:10" ht="15.75" customHeight="1" x14ac:dyDescent="0.3">
      <c r="B463" s="7"/>
      <c r="D463" s="7"/>
      <c r="G463" s="3"/>
      <c r="H463" s="10"/>
      <c r="I463" s="10"/>
      <c r="J463" s="10"/>
    </row>
    <row r="464" spans="2:10" ht="15.75" customHeight="1" x14ac:dyDescent="0.3">
      <c r="B464" s="7"/>
      <c r="D464" s="7"/>
      <c r="G464" s="3"/>
      <c r="H464" s="10"/>
      <c r="I464" s="10"/>
      <c r="J464" s="10"/>
    </row>
    <row r="465" spans="2:10" ht="15.75" customHeight="1" x14ac:dyDescent="0.3">
      <c r="B465" s="7"/>
      <c r="D465" s="7"/>
      <c r="G465" s="3"/>
      <c r="H465" s="10"/>
      <c r="I465" s="10"/>
      <c r="J465" s="10"/>
    </row>
    <row r="466" spans="2:10" ht="15.75" customHeight="1" x14ac:dyDescent="0.3">
      <c r="B466" s="7"/>
      <c r="D466" s="7"/>
      <c r="G466" s="3"/>
      <c r="H466" s="10"/>
      <c r="I466" s="10"/>
      <c r="J466" s="10"/>
    </row>
    <row r="467" spans="2:10" ht="15.75" customHeight="1" x14ac:dyDescent="0.3">
      <c r="B467" s="7"/>
      <c r="D467" s="7"/>
      <c r="G467" s="3"/>
      <c r="H467" s="10"/>
      <c r="I467" s="10"/>
      <c r="J467" s="10"/>
    </row>
    <row r="468" spans="2:10" ht="15.75" customHeight="1" x14ac:dyDescent="0.3">
      <c r="B468" s="7"/>
      <c r="D468" s="7"/>
      <c r="G468" s="3"/>
      <c r="H468" s="10"/>
      <c r="I468" s="10"/>
      <c r="J468" s="10"/>
    </row>
    <row r="469" spans="2:10" ht="15.75" customHeight="1" x14ac:dyDescent="0.3">
      <c r="B469" s="7"/>
      <c r="D469" s="7"/>
      <c r="G469" s="3"/>
      <c r="H469" s="10"/>
      <c r="I469" s="10"/>
      <c r="J469" s="10"/>
    </row>
    <row r="470" spans="2:10" ht="15.75" customHeight="1" x14ac:dyDescent="0.3">
      <c r="B470" s="7"/>
      <c r="D470" s="7"/>
      <c r="G470" s="3"/>
      <c r="H470" s="10"/>
      <c r="I470" s="10"/>
      <c r="J470" s="10"/>
    </row>
    <row r="471" spans="2:10" ht="15.75" customHeight="1" x14ac:dyDescent="0.3">
      <c r="B471" s="7"/>
      <c r="D471" s="7"/>
      <c r="G471" s="3"/>
      <c r="H471" s="10"/>
      <c r="I471" s="10"/>
      <c r="J471" s="10"/>
    </row>
    <row r="472" spans="2:10" ht="15.75" customHeight="1" x14ac:dyDescent="0.3">
      <c r="B472" s="7"/>
      <c r="D472" s="7"/>
      <c r="G472" s="3"/>
      <c r="H472" s="10"/>
      <c r="I472" s="10"/>
      <c r="J472" s="10"/>
    </row>
    <row r="473" spans="2:10" ht="15.75" customHeight="1" x14ac:dyDescent="0.3">
      <c r="B473" s="7"/>
      <c r="D473" s="7"/>
      <c r="G473" s="3"/>
      <c r="H473" s="10"/>
      <c r="I473" s="10"/>
      <c r="J473" s="10"/>
    </row>
    <row r="474" spans="2:10" ht="15.75" customHeight="1" x14ac:dyDescent="0.3">
      <c r="B474" s="7"/>
      <c r="D474" s="7"/>
      <c r="G474" s="3"/>
      <c r="H474" s="10"/>
      <c r="I474" s="10"/>
      <c r="J474" s="10"/>
    </row>
    <row r="475" spans="2:10" ht="15.75" customHeight="1" x14ac:dyDescent="0.3">
      <c r="B475" s="7"/>
      <c r="D475" s="7"/>
      <c r="G475" s="3"/>
      <c r="H475" s="10"/>
      <c r="I475" s="10"/>
      <c r="J475" s="10"/>
    </row>
    <row r="476" spans="2:10" ht="15.75" customHeight="1" x14ac:dyDescent="0.3">
      <c r="B476" s="7"/>
      <c r="D476" s="7"/>
      <c r="G476" s="3"/>
      <c r="H476" s="10"/>
      <c r="I476" s="10"/>
      <c r="J476" s="10"/>
    </row>
    <row r="477" spans="2:10" ht="15.75" customHeight="1" x14ac:dyDescent="0.3">
      <c r="B477" s="7"/>
      <c r="D477" s="7"/>
      <c r="G477" s="3"/>
      <c r="H477" s="10"/>
      <c r="I477" s="10"/>
      <c r="J477" s="10"/>
    </row>
    <row r="478" spans="2:10" ht="15.75" customHeight="1" x14ac:dyDescent="0.3">
      <c r="B478" s="7"/>
      <c r="D478" s="7"/>
      <c r="G478" s="3"/>
      <c r="H478" s="10"/>
      <c r="I478" s="10"/>
      <c r="J478" s="10"/>
    </row>
    <row r="479" spans="2:10" ht="15.75" customHeight="1" x14ac:dyDescent="0.3">
      <c r="B479" s="7"/>
      <c r="D479" s="7"/>
      <c r="G479" s="3"/>
      <c r="H479" s="10"/>
      <c r="I479" s="10"/>
      <c r="J479" s="10"/>
    </row>
    <row r="480" spans="2:10" ht="15.75" customHeight="1" x14ac:dyDescent="0.3">
      <c r="B480" s="7"/>
      <c r="D480" s="7"/>
      <c r="G480" s="3"/>
      <c r="H480" s="10"/>
      <c r="I480" s="10"/>
      <c r="J480" s="10"/>
    </row>
    <row r="481" spans="2:10" ht="15.75" customHeight="1" x14ac:dyDescent="0.3">
      <c r="B481" s="7"/>
      <c r="D481" s="7"/>
      <c r="G481" s="3"/>
      <c r="H481" s="10"/>
      <c r="I481" s="10"/>
      <c r="J481" s="10"/>
    </row>
    <row r="482" spans="2:10" ht="15.75" customHeight="1" x14ac:dyDescent="0.3">
      <c r="B482" s="7"/>
      <c r="D482" s="7"/>
      <c r="G482" s="3"/>
      <c r="H482" s="10"/>
      <c r="I482" s="10"/>
      <c r="J482" s="10"/>
    </row>
    <row r="483" spans="2:10" ht="15.75" customHeight="1" x14ac:dyDescent="0.3">
      <c r="B483" s="7"/>
      <c r="D483" s="7"/>
      <c r="G483" s="3"/>
      <c r="H483" s="10"/>
      <c r="I483" s="10"/>
      <c r="J483" s="10"/>
    </row>
    <row r="484" spans="2:10" ht="15.75" customHeight="1" x14ac:dyDescent="0.3">
      <c r="B484" s="7"/>
      <c r="D484" s="7"/>
      <c r="G484" s="3"/>
      <c r="H484" s="10"/>
      <c r="I484" s="10"/>
      <c r="J484" s="10"/>
    </row>
    <row r="485" spans="2:10" ht="15.75" customHeight="1" x14ac:dyDescent="0.3">
      <c r="B485" s="7"/>
      <c r="D485" s="7"/>
      <c r="G485" s="3"/>
      <c r="H485" s="10"/>
      <c r="I485" s="10"/>
      <c r="J485" s="10"/>
    </row>
    <row r="486" spans="2:10" ht="15.75" customHeight="1" x14ac:dyDescent="0.3">
      <c r="B486" s="7"/>
      <c r="D486" s="7"/>
      <c r="G486" s="3"/>
      <c r="H486" s="10"/>
      <c r="I486" s="10"/>
      <c r="J486" s="10"/>
    </row>
    <row r="487" spans="2:10" ht="15.75" customHeight="1" x14ac:dyDescent="0.3">
      <c r="B487" s="7"/>
      <c r="D487" s="7"/>
      <c r="G487" s="3"/>
      <c r="H487" s="10"/>
      <c r="I487" s="10"/>
      <c r="J487" s="10"/>
    </row>
    <row r="488" spans="2:10" ht="15.75" customHeight="1" x14ac:dyDescent="0.3">
      <c r="B488" s="7"/>
      <c r="D488" s="7"/>
      <c r="G488" s="3"/>
      <c r="H488" s="10"/>
      <c r="I488" s="10"/>
      <c r="J488" s="10"/>
    </row>
    <row r="489" spans="2:10" ht="15.75" customHeight="1" x14ac:dyDescent="0.3">
      <c r="B489" s="7"/>
      <c r="D489" s="7"/>
      <c r="G489" s="3"/>
      <c r="H489" s="10"/>
      <c r="I489" s="10"/>
      <c r="J489" s="10"/>
    </row>
    <row r="490" spans="2:10" ht="15.75" customHeight="1" x14ac:dyDescent="0.3">
      <c r="B490" s="7"/>
      <c r="D490" s="7"/>
      <c r="G490" s="3"/>
      <c r="H490" s="10"/>
      <c r="I490" s="10"/>
      <c r="J490" s="10"/>
    </row>
    <row r="491" spans="2:10" ht="15.75" customHeight="1" x14ac:dyDescent="0.3">
      <c r="B491" s="7"/>
      <c r="D491" s="7"/>
      <c r="G491" s="3"/>
      <c r="H491" s="10"/>
      <c r="I491" s="10"/>
      <c r="J491" s="10"/>
    </row>
    <row r="492" spans="2:10" ht="15.75" customHeight="1" x14ac:dyDescent="0.3">
      <c r="B492" s="7"/>
      <c r="D492" s="7"/>
      <c r="G492" s="3"/>
      <c r="H492" s="10"/>
      <c r="I492" s="10"/>
      <c r="J492" s="10"/>
    </row>
    <row r="493" spans="2:10" ht="15.75" customHeight="1" x14ac:dyDescent="0.3">
      <c r="B493" s="7"/>
      <c r="D493" s="7"/>
      <c r="G493" s="3"/>
      <c r="H493" s="10"/>
      <c r="I493" s="10"/>
      <c r="J493" s="10"/>
    </row>
    <row r="494" spans="2:10" ht="15.75" customHeight="1" x14ac:dyDescent="0.3">
      <c r="B494" s="7"/>
      <c r="D494" s="7"/>
      <c r="G494" s="3"/>
      <c r="H494" s="10"/>
      <c r="I494" s="10"/>
      <c r="J494" s="10"/>
    </row>
    <row r="495" spans="2:10" ht="15.75" customHeight="1" x14ac:dyDescent="0.3">
      <c r="B495" s="7"/>
      <c r="D495" s="7"/>
      <c r="G495" s="3"/>
      <c r="H495" s="10"/>
      <c r="I495" s="10"/>
      <c r="J495" s="10"/>
    </row>
    <row r="496" spans="2:10" ht="15.75" customHeight="1" x14ac:dyDescent="0.3">
      <c r="B496" s="7"/>
      <c r="D496" s="7"/>
      <c r="G496" s="3"/>
      <c r="H496" s="10"/>
      <c r="I496" s="10"/>
      <c r="J496" s="10"/>
    </row>
    <row r="497" spans="2:10" ht="15.75" customHeight="1" x14ac:dyDescent="0.3">
      <c r="B497" s="7"/>
      <c r="D497" s="7"/>
      <c r="G497" s="3"/>
      <c r="H497" s="10"/>
      <c r="I497" s="10"/>
      <c r="J497" s="10"/>
    </row>
    <row r="498" spans="2:10" ht="15.75" customHeight="1" x14ac:dyDescent="0.3">
      <c r="B498" s="7"/>
      <c r="D498" s="7"/>
      <c r="G498" s="3"/>
      <c r="H498" s="10"/>
      <c r="I498" s="10"/>
      <c r="J498" s="10"/>
    </row>
    <row r="499" spans="2:10" ht="15.75" customHeight="1" x14ac:dyDescent="0.3">
      <c r="B499" s="7"/>
      <c r="D499" s="7"/>
      <c r="G499" s="3"/>
      <c r="H499" s="10"/>
      <c r="I499" s="10"/>
      <c r="J499" s="10"/>
    </row>
    <row r="500" spans="2:10" ht="15.75" customHeight="1" x14ac:dyDescent="0.3">
      <c r="B500" s="7"/>
      <c r="D500" s="7"/>
      <c r="G500" s="3"/>
      <c r="H500" s="10"/>
      <c r="I500" s="10"/>
      <c r="J500" s="10"/>
    </row>
    <row r="501" spans="2:10" ht="15.75" customHeight="1" x14ac:dyDescent="0.3">
      <c r="B501" s="7"/>
      <c r="D501" s="7"/>
      <c r="G501" s="3"/>
      <c r="H501" s="10"/>
      <c r="I501" s="10"/>
      <c r="J501" s="10"/>
    </row>
    <row r="502" spans="2:10" ht="15.75" customHeight="1" x14ac:dyDescent="0.3">
      <c r="B502" s="7"/>
      <c r="D502" s="7"/>
      <c r="G502" s="3"/>
      <c r="H502" s="10"/>
      <c r="I502" s="10"/>
      <c r="J502" s="10"/>
    </row>
    <row r="503" spans="2:10" ht="15.75" customHeight="1" x14ac:dyDescent="0.3">
      <c r="B503" s="7"/>
      <c r="D503" s="7"/>
      <c r="G503" s="3"/>
      <c r="H503" s="10"/>
      <c r="I503" s="10"/>
      <c r="J503" s="10"/>
    </row>
    <row r="504" spans="2:10" ht="15.75" customHeight="1" x14ac:dyDescent="0.3">
      <c r="B504" s="7"/>
      <c r="D504" s="7"/>
      <c r="G504" s="3"/>
      <c r="H504" s="10"/>
      <c r="I504" s="10"/>
      <c r="J504" s="10"/>
    </row>
    <row r="505" spans="2:10" ht="15.75" customHeight="1" x14ac:dyDescent="0.3">
      <c r="B505" s="7"/>
      <c r="D505" s="7"/>
      <c r="G505" s="3"/>
      <c r="H505" s="10"/>
      <c r="I505" s="10"/>
      <c r="J505" s="10"/>
    </row>
    <row r="506" spans="2:10" ht="15.75" customHeight="1" x14ac:dyDescent="0.3">
      <c r="B506" s="7"/>
      <c r="D506" s="7"/>
      <c r="G506" s="3"/>
      <c r="H506" s="10"/>
      <c r="I506" s="10"/>
      <c r="J506" s="10"/>
    </row>
    <row r="507" spans="2:10" ht="15.75" customHeight="1" x14ac:dyDescent="0.3">
      <c r="B507" s="7"/>
      <c r="D507" s="7"/>
      <c r="G507" s="3"/>
      <c r="H507" s="10"/>
      <c r="I507" s="10"/>
      <c r="J507" s="10"/>
    </row>
    <row r="508" spans="2:10" ht="15.75" customHeight="1" x14ac:dyDescent="0.3">
      <c r="B508" s="7"/>
      <c r="D508" s="7"/>
      <c r="G508" s="3"/>
      <c r="H508" s="10"/>
      <c r="I508" s="10"/>
      <c r="J508" s="10"/>
    </row>
    <row r="509" spans="2:10" ht="15.75" customHeight="1" x14ac:dyDescent="0.3">
      <c r="B509" s="7"/>
      <c r="D509" s="7"/>
      <c r="G509" s="3"/>
      <c r="H509" s="10"/>
      <c r="I509" s="10"/>
      <c r="J509" s="10"/>
    </row>
    <row r="510" spans="2:10" ht="15.75" customHeight="1" x14ac:dyDescent="0.3">
      <c r="B510" s="7"/>
      <c r="D510" s="7"/>
      <c r="G510" s="3"/>
      <c r="H510" s="10"/>
      <c r="I510" s="10"/>
      <c r="J510" s="10"/>
    </row>
    <row r="511" spans="2:10" ht="15.75" customHeight="1" x14ac:dyDescent="0.3">
      <c r="B511" s="7"/>
      <c r="D511" s="7"/>
      <c r="G511" s="3"/>
      <c r="H511" s="10"/>
      <c r="I511" s="10"/>
      <c r="J511" s="10"/>
    </row>
    <row r="512" spans="2:10" ht="15.75" customHeight="1" x14ac:dyDescent="0.3">
      <c r="B512" s="7"/>
      <c r="D512" s="7"/>
      <c r="G512" s="3"/>
      <c r="H512" s="10"/>
      <c r="I512" s="10"/>
      <c r="J512" s="10"/>
    </row>
    <row r="513" spans="2:10" ht="15.75" customHeight="1" x14ac:dyDescent="0.3">
      <c r="B513" s="7"/>
      <c r="D513" s="7"/>
      <c r="G513" s="3"/>
      <c r="H513" s="10"/>
      <c r="I513" s="10"/>
      <c r="J513" s="10"/>
    </row>
    <row r="514" spans="2:10" ht="15.75" customHeight="1" x14ac:dyDescent="0.3">
      <c r="B514" s="7"/>
      <c r="D514" s="7"/>
      <c r="G514" s="3"/>
      <c r="H514" s="10"/>
      <c r="I514" s="10"/>
      <c r="J514" s="10"/>
    </row>
    <row r="515" spans="2:10" ht="15.75" customHeight="1" x14ac:dyDescent="0.3">
      <c r="B515" s="7"/>
      <c r="D515" s="7"/>
      <c r="G515" s="3"/>
      <c r="H515" s="10"/>
      <c r="I515" s="10"/>
      <c r="J515" s="10"/>
    </row>
    <row r="516" spans="2:10" ht="15.75" customHeight="1" x14ac:dyDescent="0.3">
      <c r="B516" s="7"/>
      <c r="D516" s="7"/>
      <c r="G516" s="3"/>
      <c r="H516" s="10"/>
      <c r="I516" s="10"/>
      <c r="J516" s="10"/>
    </row>
    <row r="517" spans="2:10" ht="15.75" customHeight="1" x14ac:dyDescent="0.3">
      <c r="B517" s="7"/>
      <c r="D517" s="7"/>
      <c r="G517" s="3"/>
      <c r="H517" s="10"/>
      <c r="I517" s="10"/>
      <c r="J517" s="10"/>
    </row>
    <row r="518" spans="2:10" ht="15.75" customHeight="1" x14ac:dyDescent="0.3">
      <c r="B518" s="7"/>
      <c r="D518" s="7"/>
      <c r="G518" s="3"/>
      <c r="H518" s="10"/>
      <c r="I518" s="10"/>
      <c r="J518" s="10"/>
    </row>
    <row r="519" spans="2:10" ht="15.75" customHeight="1" x14ac:dyDescent="0.3">
      <c r="B519" s="7"/>
      <c r="D519" s="7"/>
      <c r="G519" s="3"/>
      <c r="H519" s="10"/>
      <c r="I519" s="10"/>
      <c r="J519" s="10"/>
    </row>
    <row r="520" spans="2:10" ht="15.75" customHeight="1" x14ac:dyDescent="0.3">
      <c r="B520" s="7"/>
      <c r="D520" s="7"/>
      <c r="G520" s="3"/>
      <c r="H520" s="10"/>
      <c r="I520" s="10"/>
      <c r="J520" s="10"/>
    </row>
    <row r="521" spans="2:10" ht="15.75" customHeight="1" x14ac:dyDescent="0.3">
      <c r="B521" s="7"/>
      <c r="D521" s="7"/>
      <c r="G521" s="3"/>
      <c r="H521" s="10"/>
      <c r="I521" s="10"/>
      <c r="J521" s="10"/>
    </row>
    <row r="522" spans="2:10" ht="15.75" customHeight="1" x14ac:dyDescent="0.3">
      <c r="B522" s="7"/>
      <c r="D522" s="7"/>
      <c r="G522" s="3"/>
      <c r="H522" s="10"/>
      <c r="I522" s="10"/>
      <c r="J522" s="10"/>
    </row>
    <row r="523" spans="2:10" ht="15.75" customHeight="1" x14ac:dyDescent="0.3">
      <c r="B523" s="7"/>
      <c r="D523" s="7"/>
      <c r="G523" s="3"/>
      <c r="H523" s="10"/>
      <c r="I523" s="10"/>
      <c r="J523" s="10"/>
    </row>
    <row r="524" spans="2:10" ht="15.75" customHeight="1" x14ac:dyDescent="0.3">
      <c r="B524" s="7"/>
      <c r="D524" s="7"/>
      <c r="G524" s="3"/>
      <c r="H524" s="10"/>
      <c r="I524" s="10"/>
      <c r="J524" s="10"/>
    </row>
    <row r="525" spans="2:10" ht="15.75" customHeight="1" x14ac:dyDescent="0.3">
      <c r="B525" s="7"/>
      <c r="D525" s="7"/>
      <c r="G525" s="3"/>
      <c r="H525" s="10"/>
      <c r="I525" s="10"/>
      <c r="J525" s="10"/>
    </row>
    <row r="526" spans="2:10" ht="15.75" customHeight="1" x14ac:dyDescent="0.3">
      <c r="B526" s="7"/>
      <c r="D526" s="7"/>
      <c r="G526" s="3"/>
      <c r="H526" s="10"/>
      <c r="I526" s="10"/>
      <c r="J526" s="10"/>
    </row>
    <row r="527" spans="2:10" ht="15.75" customHeight="1" x14ac:dyDescent="0.3">
      <c r="B527" s="7"/>
      <c r="D527" s="7"/>
      <c r="G527" s="3"/>
      <c r="H527" s="10"/>
      <c r="I527" s="10"/>
      <c r="J527" s="10"/>
    </row>
    <row r="528" spans="2:10" ht="15.75" customHeight="1" x14ac:dyDescent="0.3">
      <c r="B528" s="7"/>
      <c r="D528" s="7"/>
      <c r="G528" s="3"/>
      <c r="H528" s="10"/>
      <c r="I528" s="10"/>
      <c r="J528" s="10"/>
    </row>
    <row r="529" spans="2:10" ht="15.75" customHeight="1" x14ac:dyDescent="0.3">
      <c r="B529" s="7"/>
      <c r="D529" s="7"/>
      <c r="G529" s="3"/>
      <c r="H529" s="10"/>
      <c r="I529" s="10"/>
      <c r="J529" s="10"/>
    </row>
    <row r="530" spans="2:10" ht="15.75" customHeight="1" x14ac:dyDescent="0.3">
      <c r="B530" s="7"/>
      <c r="D530" s="7"/>
      <c r="G530" s="3"/>
      <c r="H530" s="10"/>
      <c r="I530" s="10"/>
      <c r="J530" s="10"/>
    </row>
    <row r="531" spans="2:10" ht="15.75" customHeight="1" x14ac:dyDescent="0.3">
      <c r="B531" s="7"/>
      <c r="D531" s="7"/>
      <c r="G531" s="3"/>
      <c r="H531" s="10"/>
      <c r="I531" s="10"/>
      <c r="J531" s="10"/>
    </row>
    <row r="532" spans="2:10" ht="15.75" customHeight="1" x14ac:dyDescent="0.3">
      <c r="B532" s="7"/>
      <c r="D532" s="7"/>
      <c r="G532" s="3"/>
      <c r="H532" s="10"/>
      <c r="I532" s="10"/>
      <c r="J532" s="10"/>
    </row>
    <row r="533" spans="2:10" ht="15.75" customHeight="1" x14ac:dyDescent="0.3">
      <c r="B533" s="7"/>
      <c r="D533" s="7"/>
      <c r="G533" s="3"/>
      <c r="H533" s="10"/>
      <c r="I533" s="10"/>
      <c r="J533" s="10"/>
    </row>
    <row r="534" spans="2:10" ht="15.75" customHeight="1" x14ac:dyDescent="0.3">
      <c r="B534" s="7"/>
      <c r="D534" s="7"/>
      <c r="G534" s="3"/>
      <c r="H534" s="10"/>
      <c r="I534" s="10"/>
      <c r="J534" s="10"/>
    </row>
    <row r="535" spans="2:10" ht="15.75" customHeight="1" x14ac:dyDescent="0.3">
      <c r="B535" s="7"/>
      <c r="D535" s="7"/>
      <c r="G535" s="3"/>
      <c r="H535" s="10"/>
      <c r="I535" s="10"/>
      <c r="J535" s="10"/>
    </row>
    <row r="536" spans="2:10" ht="15.75" customHeight="1" x14ac:dyDescent="0.3">
      <c r="B536" s="7"/>
      <c r="D536" s="7"/>
      <c r="G536" s="3"/>
      <c r="H536" s="10"/>
      <c r="I536" s="10"/>
      <c r="J536" s="10"/>
    </row>
    <row r="537" spans="2:10" ht="15.75" customHeight="1" x14ac:dyDescent="0.3">
      <c r="B537" s="7"/>
      <c r="D537" s="7"/>
      <c r="G537" s="3"/>
      <c r="H537" s="10"/>
      <c r="I537" s="10"/>
      <c r="J537" s="10"/>
    </row>
    <row r="538" spans="2:10" ht="15.75" customHeight="1" x14ac:dyDescent="0.3">
      <c r="B538" s="7"/>
      <c r="D538" s="7"/>
      <c r="G538" s="3"/>
      <c r="H538" s="10"/>
      <c r="I538" s="10"/>
      <c r="J538" s="10"/>
    </row>
    <row r="539" spans="2:10" ht="15.75" customHeight="1" x14ac:dyDescent="0.3">
      <c r="B539" s="7"/>
      <c r="D539" s="7"/>
      <c r="G539" s="3"/>
      <c r="H539" s="10"/>
      <c r="I539" s="10"/>
      <c r="J539" s="10"/>
    </row>
    <row r="540" spans="2:10" ht="15.75" customHeight="1" x14ac:dyDescent="0.3">
      <c r="B540" s="7"/>
      <c r="D540" s="7"/>
      <c r="G540" s="3"/>
      <c r="H540" s="10"/>
      <c r="I540" s="10"/>
      <c r="J540" s="10"/>
    </row>
    <row r="541" spans="2:10" ht="15.75" customHeight="1" x14ac:dyDescent="0.3">
      <c r="B541" s="7"/>
      <c r="D541" s="7"/>
      <c r="G541" s="3"/>
      <c r="H541" s="10"/>
      <c r="I541" s="10"/>
      <c r="J541" s="10"/>
    </row>
    <row r="542" spans="2:10" ht="15.75" customHeight="1" x14ac:dyDescent="0.3">
      <c r="B542" s="7"/>
      <c r="D542" s="7"/>
      <c r="G542" s="3"/>
      <c r="H542" s="10"/>
      <c r="I542" s="10"/>
      <c r="J542" s="10"/>
    </row>
    <row r="543" spans="2:10" ht="15.75" customHeight="1" x14ac:dyDescent="0.3">
      <c r="B543" s="7"/>
      <c r="D543" s="7"/>
      <c r="G543" s="3"/>
      <c r="H543" s="10"/>
      <c r="I543" s="10"/>
      <c r="J543" s="10"/>
    </row>
    <row r="544" spans="2:10" ht="15.75" customHeight="1" x14ac:dyDescent="0.3">
      <c r="B544" s="7"/>
      <c r="D544" s="7"/>
      <c r="G544" s="3"/>
      <c r="H544" s="10"/>
      <c r="I544" s="10"/>
      <c r="J544" s="10"/>
    </row>
    <row r="545" spans="2:10" ht="15.75" customHeight="1" x14ac:dyDescent="0.3">
      <c r="B545" s="7"/>
      <c r="D545" s="7"/>
      <c r="G545" s="3"/>
      <c r="H545" s="10"/>
      <c r="I545" s="10"/>
      <c r="J545" s="10"/>
    </row>
    <row r="546" spans="2:10" ht="15.75" customHeight="1" x14ac:dyDescent="0.3">
      <c r="B546" s="7"/>
      <c r="D546" s="7"/>
      <c r="G546" s="3"/>
      <c r="H546" s="10"/>
      <c r="I546" s="10"/>
      <c r="J546" s="10"/>
    </row>
    <row r="547" spans="2:10" ht="15.75" customHeight="1" x14ac:dyDescent="0.3">
      <c r="B547" s="7"/>
      <c r="D547" s="7"/>
      <c r="G547" s="3"/>
      <c r="H547" s="10"/>
      <c r="I547" s="10"/>
      <c r="J547" s="10"/>
    </row>
    <row r="548" spans="2:10" ht="15.75" customHeight="1" x14ac:dyDescent="0.3">
      <c r="B548" s="7"/>
      <c r="D548" s="7"/>
      <c r="G548" s="3"/>
      <c r="H548" s="10"/>
      <c r="I548" s="10"/>
      <c r="J548" s="10"/>
    </row>
    <row r="549" spans="2:10" ht="15.75" customHeight="1" x14ac:dyDescent="0.3">
      <c r="B549" s="7"/>
      <c r="D549" s="7"/>
      <c r="G549" s="3"/>
      <c r="H549" s="10"/>
      <c r="I549" s="10"/>
      <c r="J549" s="10"/>
    </row>
    <row r="550" spans="2:10" ht="15.75" customHeight="1" x14ac:dyDescent="0.3">
      <c r="B550" s="7"/>
      <c r="D550" s="7"/>
      <c r="G550" s="3"/>
      <c r="H550" s="10"/>
      <c r="I550" s="10"/>
      <c r="J550" s="10"/>
    </row>
    <row r="551" spans="2:10" ht="15.75" customHeight="1" x14ac:dyDescent="0.3">
      <c r="B551" s="7"/>
      <c r="D551" s="7"/>
      <c r="G551" s="3"/>
      <c r="H551" s="10"/>
      <c r="I551" s="10"/>
      <c r="J551" s="10"/>
    </row>
    <row r="552" spans="2:10" ht="15.75" customHeight="1" x14ac:dyDescent="0.3">
      <c r="B552" s="7"/>
      <c r="D552" s="7"/>
      <c r="G552" s="3"/>
      <c r="H552" s="10"/>
      <c r="I552" s="10"/>
      <c r="J552" s="10"/>
    </row>
    <row r="553" spans="2:10" ht="15.75" customHeight="1" x14ac:dyDescent="0.3">
      <c r="B553" s="7"/>
      <c r="D553" s="7"/>
      <c r="G553" s="3"/>
      <c r="H553" s="10"/>
      <c r="I553" s="10"/>
      <c r="J553" s="10"/>
    </row>
    <row r="554" spans="2:10" ht="15.75" customHeight="1" x14ac:dyDescent="0.3">
      <c r="B554" s="7"/>
      <c r="D554" s="7"/>
      <c r="G554" s="3"/>
      <c r="H554" s="10"/>
      <c r="I554" s="10"/>
      <c r="J554" s="10"/>
    </row>
    <row r="555" spans="2:10" ht="15.75" customHeight="1" x14ac:dyDescent="0.3">
      <c r="B555" s="7"/>
      <c r="D555" s="7"/>
      <c r="G555" s="3"/>
      <c r="H555" s="10"/>
      <c r="I555" s="10"/>
      <c r="J555" s="10"/>
    </row>
    <row r="556" spans="2:10" ht="15.75" customHeight="1" x14ac:dyDescent="0.3">
      <c r="B556" s="7"/>
      <c r="D556" s="7"/>
      <c r="G556" s="3"/>
      <c r="H556" s="10"/>
      <c r="I556" s="10"/>
      <c r="J556" s="10"/>
    </row>
    <row r="557" spans="2:10" ht="15.75" customHeight="1" x14ac:dyDescent="0.3">
      <c r="B557" s="7"/>
      <c r="D557" s="7"/>
      <c r="G557" s="3"/>
      <c r="H557" s="10"/>
      <c r="I557" s="10"/>
      <c r="J557" s="10"/>
    </row>
    <row r="558" spans="2:10" ht="15.75" customHeight="1" x14ac:dyDescent="0.3">
      <c r="B558" s="7"/>
      <c r="D558" s="7"/>
      <c r="G558" s="3"/>
      <c r="H558" s="10"/>
      <c r="I558" s="10"/>
      <c r="J558" s="10"/>
    </row>
    <row r="559" spans="2:10" ht="15.75" customHeight="1" x14ac:dyDescent="0.3">
      <c r="B559" s="7"/>
      <c r="D559" s="7"/>
      <c r="G559" s="3"/>
      <c r="H559" s="10"/>
      <c r="I559" s="10"/>
      <c r="J559" s="10"/>
    </row>
    <row r="560" spans="2:10" ht="15.75" customHeight="1" x14ac:dyDescent="0.3">
      <c r="B560" s="7"/>
      <c r="D560" s="7"/>
      <c r="G560" s="3"/>
      <c r="H560" s="10"/>
      <c r="I560" s="10"/>
      <c r="J560" s="10"/>
    </row>
    <row r="561" spans="2:10" ht="15.75" customHeight="1" x14ac:dyDescent="0.3">
      <c r="B561" s="7"/>
      <c r="D561" s="7"/>
      <c r="G561" s="3"/>
      <c r="H561" s="10"/>
      <c r="I561" s="10"/>
      <c r="J561" s="10"/>
    </row>
    <row r="562" spans="2:10" ht="15.75" customHeight="1" x14ac:dyDescent="0.3">
      <c r="B562" s="7"/>
      <c r="D562" s="7"/>
      <c r="G562" s="3"/>
      <c r="H562" s="10"/>
      <c r="I562" s="10"/>
      <c r="J562" s="10"/>
    </row>
    <row r="563" spans="2:10" ht="15.75" customHeight="1" x14ac:dyDescent="0.3">
      <c r="B563" s="7"/>
      <c r="D563" s="7"/>
      <c r="G563" s="3"/>
      <c r="H563" s="10"/>
      <c r="I563" s="10"/>
      <c r="J563" s="10"/>
    </row>
    <row r="564" spans="2:10" ht="15.75" customHeight="1" x14ac:dyDescent="0.3">
      <c r="B564" s="7"/>
      <c r="D564" s="7"/>
      <c r="G564" s="3"/>
      <c r="H564" s="10"/>
      <c r="I564" s="10"/>
      <c r="J564" s="10"/>
    </row>
    <row r="565" spans="2:10" ht="15.75" customHeight="1" x14ac:dyDescent="0.3">
      <c r="B565" s="7"/>
      <c r="D565" s="7"/>
      <c r="G565" s="3"/>
      <c r="H565" s="10"/>
      <c r="I565" s="10"/>
      <c r="J565" s="10"/>
    </row>
    <row r="566" spans="2:10" ht="15.75" customHeight="1" x14ac:dyDescent="0.3">
      <c r="B566" s="7"/>
      <c r="D566" s="7"/>
      <c r="G566" s="3"/>
      <c r="H566" s="10"/>
      <c r="I566" s="10"/>
      <c r="J566" s="10"/>
    </row>
    <row r="567" spans="2:10" ht="15.75" customHeight="1" x14ac:dyDescent="0.3">
      <c r="B567" s="7"/>
      <c r="D567" s="7"/>
      <c r="G567" s="3"/>
      <c r="H567" s="10"/>
      <c r="I567" s="10"/>
      <c r="J567" s="10"/>
    </row>
    <row r="568" spans="2:10" ht="15.75" customHeight="1" x14ac:dyDescent="0.3">
      <c r="B568" s="7"/>
      <c r="D568" s="7"/>
      <c r="G568" s="3"/>
      <c r="H568" s="10"/>
      <c r="I568" s="10"/>
      <c r="J568" s="10"/>
    </row>
    <row r="569" spans="2:10" ht="15.75" customHeight="1" x14ac:dyDescent="0.3">
      <c r="B569" s="7"/>
      <c r="D569" s="7"/>
      <c r="G569" s="3"/>
      <c r="H569" s="10"/>
      <c r="I569" s="10"/>
      <c r="J569" s="10"/>
    </row>
    <row r="570" spans="2:10" ht="15.75" customHeight="1" x14ac:dyDescent="0.3">
      <c r="B570" s="7"/>
      <c r="D570" s="7"/>
      <c r="G570" s="3"/>
      <c r="H570" s="10"/>
      <c r="I570" s="10"/>
      <c r="J570" s="10"/>
    </row>
    <row r="571" spans="2:10" ht="15.75" customHeight="1" x14ac:dyDescent="0.3">
      <c r="B571" s="7"/>
      <c r="D571" s="7"/>
      <c r="G571" s="3"/>
      <c r="H571" s="10"/>
      <c r="I571" s="10"/>
      <c r="J571" s="10"/>
    </row>
    <row r="572" spans="2:10" ht="15.75" customHeight="1" x14ac:dyDescent="0.3">
      <c r="B572" s="7"/>
      <c r="D572" s="7"/>
      <c r="G572" s="3"/>
      <c r="H572" s="10"/>
      <c r="I572" s="10"/>
      <c r="J572" s="10"/>
    </row>
    <row r="573" spans="2:10" ht="15.75" customHeight="1" x14ac:dyDescent="0.3">
      <c r="B573" s="7"/>
      <c r="D573" s="7"/>
      <c r="G573" s="3"/>
      <c r="H573" s="10"/>
      <c r="I573" s="10"/>
      <c r="J573" s="10"/>
    </row>
    <row r="574" spans="2:10" ht="15.75" customHeight="1" x14ac:dyDescent="0.3">
      <c r="B574" s="7"/>
      <c r="D574" s="7"/>
      <c r="G574" s="3"/>
      <c r="H574" s="10"/>
      <c r="I574" s="10"/>
      <c r="J574" s="10"/>
    </row>
    <row r="575" spans="2:10" ht="15.75" customHeight="1" x14ac:dyDescent="0.3">
      <c r="B575" s="7"/>
      <c r="D575" s="7"/>
      <c r="G575" s="3"/>
      <c r="H575" s="10"/>
      <c r="I575" s="10"/>
      <c r="J575" s="10"/>
    </row>
    <row r="576" spans="2:10" ht="15.75" customHeight="1" x14ac:dyDescent="0.3">
      <c r="B576" s="7"/>
      <c r="D576" s="7"/>
      <c r="G576" s="3"/>
      <c r="H576" s="10"/>
      <c r="I576" s="10"/>
      <c r="J576" s="10"/>
    </row>
    <row r="577" spans="2:10" ht="15.75" customHeight="1" x14ac:dyDescent="0.3">
      <c r="B577" s="7"/>
      <c r="D577" s="7"/>
      <c r="G577" s="3"/>
      <c r="H577" s="10"/>
      <c r="I577" s="10"/>
      <c r="J577" s="10"/>
    </row>
    <row r="578" spans="2:10" ht="15.75" customHeight="1" x14ac:dyDescent="0.3">
      <c r="B578" s="7"/>
      <c r="D578" s="7"/>
      <c r="G578" s="3"/>
      <c r="H578" s="10"/>
      <c r="I578" s="10"/>
      <c r="J578" s="10"/>
    </row>
    <row r="579" spans="2:10" ht="15.75" customHeight="1" x14ac:dyDescent="0.3">
      <c r="B579" s="7"/>
      <c r="D579" s="7"/>
      <c r="G579" s="3"/>
      <c r="H579" s="10"/>
      <c r="I579" s="10"/>
      <c r="J579" s="10"/>
    </row>
    <row r="580" spans="2:10" ht="15.75" customHeight="1" x14ac:dyDescent="0.3">
      <c r="B580" s="7"/>
      <c r="D580" s="7"/>
      <c r="G580" s="3"/>
      <c r="H580" s="10"/>
      <c r="I580" s="10"/>
      <c r="J580" s="10"/>
    </row>
    <row r="581" spans="2:10" ht="15.75" customHeight="1" x14ac:dyDescent="0.3">
      <c r="B581" s="7"/>
      <c r="D581" s="7"/>
      <c r="G581" s="3"/>
      <c r="H581" s="10"/>
      <c r="I581" s="10"/>
      <c r="J581" s="10"/>
    </row>
    <row r="582" spans="2:10" ht="15.75" customHeight="1" x14ac:dyDescent="0.3">
      <c r="B582" s="7"/>
      <c r="D582" s="7"/>
      <c r="G582" s="3"/>
      <c r="H582" s="10"/>
      <c r="I582" s="10"/>
      <c r="J582" s="10"/>
    </row>
    <row r="583" spans="2:10" ht="15.75" customHeight="1" x14ac:dyDescent="0.3">
      <c r="B583" s="7"/>
      <c r="D583" s="7"/>
      <c r="G583" s="3"/>
      <c r="H583" s="10"/>
      <c r="I583" s="10"/>
      <c r="J583" s="10"/>
    </row>
    <row r="584" spans="2:10" ht="15.75" customHeight="1" x14ac:dyDescent="0.3">
      <c r="B584" s="7"/>
      <c r="D584" s="7"/>
      <c r="G584" s="3"/>
      <c r="H584" s="10"/>
      <c r="I584" s="10"/>
      <c r="J584" s="10"/>
    </row>
    <row r="585" spans="2:10" ht="15.75" customHeight="1" x14ac:dyDescent="0.3">
      <c r="B585" s="7"/>
      <c r="D585" s="7"/>
      <c r="G585" s="3"/>
      <c r="H585" s="10"/>
      <c r="I585" s="10"/>
      <c r="J585" s="10"/>
    </row>
    <row r="586" spans="2:10" ht="15.75" customHeight="1" x14ac:dyDescent="0.3">
      <c r="B586" s="7"/>
      <c r="D586" s="7"/>
      <c r="G586" s="3"/>
      <c r="H586" s="10"/>
      <c r="I586" s="10"/>
      <c r="J586" s="10"/>
    </row>
    <row r="587" spans="2:10" ht="15.75" customHeight="1" x14ac:dyDescent="0.3">
      <c r="B587" s="7"/>
      <c r="D587" s="7"/>
      <c r="G587" s="3"/>
      <c r="H587" s="10"/>
      <c r="I587" s="10"/>
      <c r="J587" s="10"/>
    </row>
    <row r="588" spans="2:10" ht="15.75" customHeight="1" x14ac:dyDescent="0.3">
      <c r="B588" s="7"/>
      <c r="D588" s="7"/>
      <c r="G588" s="3"/>
      <c r="H588" s="10"/>
      <c r="I588" s="10"/>
      <c r="J588" s="10"/>
    </row>
    <row r="589" spans="2:10" ht="15.75" customHeight="1" x14ac:dyDescent="0.3">
      <c r="B589" s="7"/>
      <c r="D589" s="7"/>
      <c r="G589" s="3"/>
      <c r="H589" s="10"/>
      <c r="I589" s="10"/>
      <c r="J589" s="10"/>
    </row>
    <row r="590" spans="2:10" ht="15.75" customHeight="1" x14ac:dyDescent="0.3">
      <c r="B590" s="7"/>
      <c r="D590" s="7"/>
      <c r="G590" s="3"/>
      <c r="H590" s="10"/>
      <c r="I590" s="10"/>
      <c r="J590" s="10"/>
    </row>
    <row r="591" spans="2:10" ht="15.75" customHeight="1" x14ac:dyDescent="0.3">
      <c r="B591" s="7"/>
      <c r="D591" s="7"/>
      <c r="G591" s="3"/>
      <c r="H591" s="10"/>
      <c r="I591" s="10"/>
      <c r="J591" s="10"/>
    </row>
    <row r="592" spans="2:10" ht="15.75" customHeight="1" x14ac:dyDescent="0.3">
      <c r="B592" s="7"/>
      <c r="D592" s="7"/>
      <c r="G592" s="3"/>
      <c r="H592" s="10"/>
      <c r="I592" s="10"/>
      <c r="J592" s="10"/>
    </row>
    <row r="593" spans="2:10" ht="15.75" customHeight="1" x14ac:dyDescent="0.3">
      <c r="B593" s="7"/>
      <c r="D593" s="7"/>
      <c r="G593" s="3"/>
      <c r="H593" s="10"/>
      <c r="I593" s="10"/>
      <c r="J593" s="10"/>
    </row>
    <row r="594" spans="2:10" ht="15.75" customHeight="1" x14ac:dyDescent="0.3">
      <c r="B594" s="7"/>
      <c r="D594" s="7"/>
      <c r="G594" s="3"/>
      <c r="H594" s="10"/>
      <c r="I594" s="10"/>
      <c r="J594" s="10"/>
    </row>
    <row r="595" spans="2:10" ht="15.75" customHeight="1" x14ac:dyDescent="0.3">
      <c r="B595" s="7"/>
      <c r="D595" s="7"/>
      <c r="G595" s="3"/>
      <c r="H595" s="10"/>
      <c r="I595" s="10"/>
      <c r="J595" s="10"/>
    </row>
    <row r="596" spans="2:10" ht="15.75" customHeight="1" x14ac:dyDescent="0.3">
      <c r="B596" s="7"/>
      <c r="D596" s="7"/>
      <c r="G596" s="3"/>
      <c r="H596" s="10"/>
      <c r="I596" s="10"/>
      <c r="J596" s="10"/>
    </row>
    <row r="597" spans="2:10" ht="15.75" customHeight="1" x14ac:dyDescent="0.3">
      <c r="B597" s="7"/>
      <c r="D597" s="7"/>
      <c r="G597" s="3"/>
      <c r="H597" s="10"/>
      <c r="I597" s="10"/>
      <c r="J597" s="10"/>
    </row>
    <row r="598" spans="2:10" ht="15.75" customHeight="1" x14ac:dyDescent="0.3">
      <c r="B598" s="7"/>
      <c r="D598" s="7"/>
      <c r="G598" s="3"/>
      <c r="H598" s="10"/>
      <c r="I598" s="10"/>
      <c r="J598" s="10"/>
    </row>
    <row r="599" spans="2:10" ht="15.75" customHeight="1" x14ac:dyDescent="0.3">
      <c r="B599" s="7"/>
      <c r="D599" s="7"/>
      <c r="G599" s="3"/>
      <c r="H599" s="10"/>
      <c r="I599" s="10"/>
      <c r="J599" s="10"/>
    </row>
    <row r="600" spans="2:10" ht="15.75" customHeight="1" x14ac:dyDescent="0.3">
      <c r="B600" s="7"/>
      <c r="D600" s="7"/>
      <c r="G600" s="3"/>
      <c r="H600" s="10"/>
      <c r="I600" s="10"/>
      <c r="J600" s="10"/>
    </row>
    <row r="601" spans="2:10" ht="15.75" customHeight="1" x14ac:dyDescent="0.3">
      <c r="B601" s="7"/>
      <c r="D601" s="7"/>
      <c r="G601" s="3"/>
      <c r="H601" s="10"/>
      <c r="I601" s="10"/>
      <c r="J601" s="10"/>
    </row>
    <row r="602" spans="2:10" ht="15.75" customHeight="1" x14ac:dyDescent="0.3">
      <c r="B602" s="7"/>
      <c r="D602" s="7"/>
      <c r="G602" s="3"/>
      <c r="H602" s="10"/>
      <c r="I602" s="10"/>
      <c r="J602" s="10"/>
    </row>
    <row r="603" spans="2:10" ht="15.75" customHeight="1" x14ac:dyDescent="0.3">
      <c r="B603" s="7"/>
      <c r="D603" s="7"/>
      <c r="G603" s="3"/>
      <c r="H603" s="10"/>
      <c r="I603" s="10"/>
      <c r="J603" s="10"/>
    </row>
    <row r="604" spans="2:10" ht="15.75" customHeight="1" x14ac:dyDescent="0.3">
      <c r="B604" s="7"/>
      <c r="D604" s="7"/>
      <c r="G604" s="3"/>
      <c r="H604" s="10"/>
      <c r="I604" s="10"/>
      <c r="J604" s="10"/>
    </row>
    <row r="605" spans="2:10" ht="15.75" customHeight="1" x14ac:dyDescent="0.3">
      <c r="B605" s="7"/>
      <c r="D605" s="7"/>
      <c r="G605" s="3"/>
      <c r="H605" s="10"/>
      <c r="I605" s="10"/>
      <c r="J605" s="10"/>
    </row>
    <row r="606" spans="2:10" ht="15.75" customHeight="1" x14ac:dyDescent="0.3">
      <c r="B606" s="7"/>
      <c r="D606" s="7"/>
      <c r="G606" s="3"/>
      <c r="H606" s="10"/>
      <c r="I606" s="10"/>
      <c r="J606" s="10"/>
    </row>
    <row r="607" spans="2:10" ht="15.75" customHeight="1" x14ac:dyDescent="0.3">
      <c r="B607" s="7"/>
      <c r="D607" s="7"/>
      <c r="G607" s="3"/>
      <c r="H607" s="10"/>
      <c r="I607" s="10"/>
      <c r="J607" s="10"/>
    </row>
    <row r="608" spans="2:10" ht="15.75" customHeight="1" x14ac:dyDescent="0.3">
      <c r="B608" s="7"/>
      <c r="D608" s="7"/>
      <c r="G608" s="3"/>
      <c r="H608" s="10"/>
      <c r="I608" s="10"/>
      <c r="J608" s="10"/>
    </row>
    <row r="609" spans="2:10" ht="15.75" customHeight="1" x14ac:dyDescent="0.3">
      <c r="B609" s="7"/>
      <c r="D609" s="7"/>
      <c r="G609" s="3"/>
      <c r="H609" s="10"/>
      <c r="I609" s="10"/>
      <c r="J609" s="10"/>
    </row>
    <row r="610" spans="2:10" ht="15.75" customHeight="1" x14ac:dyDescent="0.3">
      <c r="B610" s="7"/>
      <c r="D610" s="7"/>
      <c r="G610" s="3"/>
      <c r="H610" s="10"/>
      <c r="I610" s="10"/>
      <c r="J610" s="10"/>
    </row>
    <row r="611" spans="2:10" ht="15.75" customHeight="1" x14ac:dyDescent="0.3">
      <c r="B611" s="7"/>
      <c r="D611" s="7"/>
      <c r="G611" s="3"/>
      <c r="H611" s="10"/>
      <c r="I611" s="10"/>
      <c r="J611" s="10"/>
    </row>
    <row r="612" spans="2:10" ht="15.75" customHeight="1" x14ac:dyDescent="0.3">
      <c r="B612" s="7"/>
      <c r="D612" s="7"/>
      <c r="G612" s="3"/>
      <c r="H612" s="10"/>
      <c r="I612" s="10"/>
      <c r="J612" s="10"/>
    </row>
    <row r="613" spans="2:10" ht="15.75" customHeight="1" x14ac:dyDescent="0.3">
      <c r="B613" s="7"/>
      <c r="D613" s="7"/>
      <c r="G613" s="3"/>
      <c r="H613" s="10"/>
      <c r="I613" s="10"/>
      <c r="J613" s="10"/>
    </row>
    <row r="614" spans="2:10" ht="15.75" customHeight="1" x14ac:dyDescent="0.3">
      <c r="B614" s="7"/>
      <c r="D614" s="7"/>
      <c r="G614" s="3"/>
      <c r="H614" s="10"/>
      <c r="I614" s="10"/>
      <c r="J614" s="10"/>
    </row>
    <row r="615" spans="2:10" ht="15.75" customHeight="1" x14ac:dyDescent="0.3">
      <c r="B615" s="7"/>
      <c r="D615" s="7"/>
      <c r="G615" s="3"/>
      <c r="H615" s="10"/>
      <c r="I615" s="10"/>
      <c r="J615" s="10"/>
    </row>
    <row r="616" spans="2:10" ht="15.75" customHeight="1" x14ac:dyDescent="0.3">
      <c r="B616" s="7"/>
      <c r="D616" s="7"/>
      <c r="G616" s="3"/>
      <c r="H616" s="10"/>
      <c r="I616" s="10"/>
      <c r="J616" s="10"/>
    </row>
    <row r="617" spans="2:10" ht="15.75" customHeight="1" x14ac:dyDescent="0.3">
      <c r="B617" s="7"/>
      <c r="D617" s="7"/>
      <c r="G617" s="3"/>
      <c r="H617" s="10"/>
      <c r="I617" s="10"/>
      <c r="J617" s="10"/>
    </row>
    <row r="618" spans="2:10" ht="15.75" customHeight="1" x14ac:dyDescent="0.3">
      <c r="B618" s="7"/>
      <c r="D618" s="7"/>
      <c r="G618" s="3"/>
      <c r="H618" s="10"/>
      <c r="I618" s="10"/>
      <c r="J618" s="10"/>
    </row>
    <row r="619" spans="2:10" ht="15.75" customHeight="1" x14ac:dyDescent="0.3">
      <c r="B619" s="7"/>
      <c r="D619" s="7"/>
      <c r="G619" s="3"/>
      <c r="H619" s="10"/>
      <c r="I619" s="10"/>
      <c r="J619" s="10"/>
    </row>
    <row r="620" spans="2:10" ht="15.75" customHeight="1" x14ac:dyDescent="0.3">
      <c r="B620" s="7"/>
      <c r="D620" s="7"/>
      <c r="G620" s="3"/>
      <c r="H620" s="10"/>
      <c r="I620" s="10"/>
      <c r="J620" s="10"/>
    </row>
    <row r="621" spans="2:10" ht="15.75" customHeight="1" x14ac:dyDescent="0.3">
      <c r="B621" s="7"/>
      <c r="D621" s="7"/>
      <c r="G621" s="3"/>
      <c r="H621" s="10"/>
      <c r="I621" s="10"/>
      <c r="J621" s="10"/>
    </row>
    <row r="622" spans="2:10" ht="15.75" customHeight="1" x14ac:dyDescent="0.3">
      <c r="B622" s="7"/>
      <c r="D622" s="7"/>
      <c r="G622" s="3"/>
      <c r="H622" s="10"/>
      <c r="I622" s="10"/>
      <c r="J622" s="10"/>
    </row>
    <row r="623" spans="2:10" ht="15.75" customHeight="1" x14ac:dyDescent="0.3">
      <c r="B623" s="7"/>
      <c r="D623" s="7"/>
      <c r="G623" s="3"/>
      <c r="H623" s="10"/>
      <c r="I623" s="10"/>
      <c r="J623" s="10"/>
    </row>
    <row r="624" spans="2:10" ht="15.75" customHeight="1" x14ac:dyDescent="0.3">
      <c r="B624" s="7"/>
      <c r="D624" s="7"/>
      <c r="G624" s="3"/>
      <c r="H624" s="10"/>
      <c r="I624" s="10"/>
      <c r="J624" s="10"/>
    </row>
    <row r="625" spans="2:10" ht="15.75" customHeight="1" x14ac:dyDescent="0.3">
      <c r="B625" s="7"/>
      <c r="D625" s="7"/>
      <c r="G625" s="3"/>
      <c r="H625" s="10"/>
      <c r="I625" s="10"/>
      <c r="J625" s="10"/>
    </row>
    <row r="626" spans="2:10" ht="15.75" customHeight="1" x14ac:dyDescent="0.3">
      <c r="B626" s="7"/>
      <c r="D626" s="7"/>
      <c r="G626" s="3"/>
      <c r="H626" s="10"/>
      <c r="I626" s="10"/>
      <c r="J626" s="10"/>
    </row>
    <row r="627" spans="2:10" ht="15.75" customHeight="1" x14ac:dyDescent="0.3">
      <c r="B627" s="7"/>
      <c r="D627" s="7"/>
      <c r="G627" s="3"/>
      <c r="H627" s="10"/>
      <c r="I627" s="10"/>
      <c r="J627" s="10"/>
    </row>
    <row r="628" spans="2:10" ht="15.75" customHeight="1" x14ac:dyDescent="0.3">
      <c r="B628" s="7"/>
      <c r="D628" s="7"/>
      <c r="G628" s="3"/>
      <c r="H628" s="10"/>
      <c r="I628" s="10"/>
      <c r="J628" s="10"/>
    </row>
    <row r="629" spans="2:10" ht="15.75" customHeight="1" x14ac:dyDescent="0.3">
      <c r="B629" s="7"/>
      <c r="D629" s="7"/>
      <c r="G629" s="3"/>
      <c r="H629" s="10"/>
      <c r="I629" s="10"/>
      <c r="J629" s="10"/>
    </row>
    <row r="630" spans="2:10" ht="15.75" customHeight="1" x14ac:dyDescent="0.3">
      <c r="B630" s="7"/>
      <c r="D630" s="7"/>
      <c r="G630" s="3"/>
      <c r="H630" s="10"/>
      <c r="I630" s="10"/>
      <c r="J630" s="10"/>
    </row>
    <row r="631" spans="2:10" ht="15.75" customHeight="1" x14ac:dyDescent="0.3">
      <c r="B631" s="7"/>
      <c r="D631" s="7"/>
      <c r="G631" s="3"/>
      <c r="H631" s="10"/>
      <c r="I631" s="10"/>
      <c r="J631" s="10"/>
    </row>
    <row r="632" spans="2:10" ht="15.75" customHeight="1" x14ac:dyDescent="0.3">
      <c r="B632" s="7"/>
      <c r="D632" s="7"/>
      <c r="G632" s="3"/>
      <c r="H632" s="10"/>
      <c r="I632" s="10"/>
      <c r="J632" s="10"/>
    </row>
    <row r="633" spans="2:10" ht="15.75" customHeight="1" x14ac:dyDescent="0.3">
      <c r="B633" s="7"/>
      <c r="D633" s="7"/>
      <c r="G633" s="3"/>
      <c r="H633" s="10"/>
      <c r="I633" s="10"/>
      <c r="J633" s="10"/>
    </row>
    <row r="634" spans="2:10" ht="15.75" customHeight="1" x14ac:dyDescent="0.3">
      <c r="B634" s="7"/>
      <c r="D634" s="7"/>
      <c r="G634" s="3"/>
      <c r="H634" s="10"/>
      <c r="I634" s="10"/>
      <c r="J634" s="10"/>
    </row>
    <row r="635" spans="2:10" ht="15.75" customHeight="1" x14ac:dyDescent="0.3">
      <c r="B635" s="7"/>
      <c r="D635" s="7"/>
      <c r="G635" s="3"/>
      <c r="H635" s="10"/>
      <c r="I635" s="10"/>
      <c r="J635" s="10"/>
    </row>
    <row r="636" spans="2:10" ht="15.75" customHeight="1" x14ac:dyDescent="0.3">
      <c r="B636" s="7"/>
      <c r="D636" s="7"/>
      <c r="G636" s="3"/>
      <c r="H636" s="10"/>
      <c r="I636" s="10"/>
      <c r="J636" s="10"/>
    </row>
    <row r="637" spans="2:10" ht="15.75" customHeight="1" x14ac:dyDescent="0.3">
      <c r="B637" s="7"/>
      <c r="D637" s="7"/>
      <c r="G637" s="3"/>
      <c r="H637" s="10"/>
      <c r="I637" s="10"/>
      <c r="J637" s="10"/>
    </row>
    <row r="638" spans="2:10" ht="15.75" customHeight="1" x14ac:dyDescent="0.3">
      <c r="B638" s="7"/>
      <c r="D638" s="7"/>
      <c r="G638" s="3"/>
      <c r="H638" s="10"/>
      <c r="I638" s="10"/>
      <c r="J638" s="10"/>
    </row>
    <row r="639" spans="2:10" ht="15.75" customHeight="1" x14ac:dyDescent="0.3">
      <c r="B639" s="7"/>
      <c r="D639" s="7"/>
      <c r="G639" s="3"/>
      <c r="H639" s="10"/>
      <c r="I639" s="10"/>
      <c r="J639" s="10"/>
    </row>
    <row r="640" spans="2:10" ht="15.75" customHeight="1" x14ac:dyDescent="0.3">
      <c r="B640" s="7"/>
      <c r="D640" s="7"/>
      <c r="G640" s="3"/>
      <c r="H640" s="10"/>
      <c r="I640" s="10"/>
      <c r="J640" s="10"/>
    </row>
    <row r="641" spans="2:10" ht="15.75" customHeight="1" x14ac:dyDescent="0.3">
      <c r="B641" s="7"/>
      <c r="D641" s="7"/>
      <c r="G641" s="3"/>
      <c r="H641" s="10"/>
      <c r="I641" s="10"/>
      <c r="J641" s="10"/>
    </row>
    <row r="642" spans="2:10" ht="15.75" customHeight="1" x14ac:dyDescent="0.3">
      <c r="B642" s="7"/>
      <c r="D642" s="7"/>
      <c r="G642" s="3"/>
      <c r="H642" s="10"/>
      <c r="I642" s="10"/>
      <c r="J642" s="10"/>
    </row>
    <row r="643" spans="2:10" ht="15.75" customHeight="1" x14ac:dyDescent="0.3">
      <c r="B643" s="7"/>
      <c r="D643" s="7"/>
      <c r="G643" s="3"/>
      <c r="H643" s="10"/>
      <c r="I643" s="10"/>
      <c r="J643" s="10"/>
    </row>
    <row r="644" spans="2:10" ht="15.75" customHeight="1" x14ac:dyDescent="0.3">
      <c r="B644" s="7"/>
      <c r="D644" s="7"/>
      <c r="G644" s="3"/>
      <c r="H644" s="10"/>
      <c r="I644" s="10"/>
      <c r="J644" s="10"/>
    </row>
    <row r="645" spans="2:10" ht="15.75" customHeight="1" x14ac:dyDescent="0.3">
      <c r="B645" s="7"/>
      <c r="D645" s="7"/>
      <c r="G645" s="3"/>
      <c r="H645" s="10"/>
      <c r="I645" s="10"/>
      <c r="J645" s="10"/>
    </row>
    <row r="646" spans="2:10" ht="15.75" customHeight="1" x14ac:dyDescent="0.3">
      <c r="B646" s="7"/>
      <c r="D646" s="7"/>
      <c r="G646" s="3"/>
      <c r="H646" s="10"/>
      <c r="I646" s="10"/>
      <c r="J646" s="10"/>
    </row>
    <row r="647" spans="2:10" ht="15.75" customHeight="1" x14ac:dyDescent="0.3">
      <c r="B647" s="7"/>
      <c r="D647" s="7"/>
      <c r="G647" s="3"/>
      <c r="H647" s="10"/>
      <c r="I647" s="10"/>
      <c r="J647" s="10"/>
    </row>
    <row r="648" spans="2:10" ht="15.75" customHeight="1" x14ac:dyDescent="0.3">
      <c r="B648" s="7"/>
      <c r="D648" s="7"/>
      <c r="G648" s="3"/>
      <c r="H648" s="10"/>
      <c r="I648" s="10"/>
      <c r="J648" s="10"/>
    </row>
    <row r="649" spans="2:10" ht="15.75" customHeight="1" x14ac:dyDescent="0.3">
      <c r="B649" s="7"/>
      <c r="D649" s="7"/>
      <c r="G649" s="3"/>
      <c r="H649" s="10"/>
      <c r="I649" s="10"/>
      <c r="J649" s="10"/>
    </row>
    <row r="650" spans="2:10" ht="15.75" customHeight="1" x14ac:dyDescent="0.3">
      <c r="B650" s="7"/>
      <c r="D650" s="7"/>
      <c r="G650" s="3"/>
      <c r="H650" s="10"/>
      <c r="I650" s="10"/>
      <c r="J650" s="10"/>
    </row>
    <row r="651" spans="2:10" ht="15.75" customHeight="1" x14ac:dyDescent="0.3">
      <c r="B651" s="7"/>
      <c r="D651" s="7"/>
      <c r="G651" s="3"/>
      <c r="H651" s="10"/>
      <c r="I651" s="10"/>
      <c r="J651" s="10"/>
    </row>
    <row r="652" spans="2:10" ht="15.75" customHeight="1" x14ac:dyDescent="0.3">
      <c r="B652" s="7"/>
      <c r="D652" s="7"/>
      <c r="G652" s="3"/>
      <c r="H652" s="10"/>
      <c r="I652" s="10"/>
      <c r="J652" s="10"/>
    </row>
    <row r="653" spans="2:10" ht="15.75" customHeight="1" x14ac:dyDescent="0.3">
      <c r="B653" s="7"/>
      <c r="D653" s="7"/>
      <c r="G653" s="3"/>
      <c r="H653" s="10"/>
      <c r="I653" s="10"/>
      <c r="J653" s="10"/>
    </row>
    <row r="654" spans="2:10" ht="15.75" customHeight="1" x14ac:dyDescent="0.3">
      <c r="B654" s="7"/>
      <c r="D654" s="7"/>
      <c r="G654" s="3"/>
      <c r="H654" s="10"/>
      <c r="I654" s="10"/>
      <c r="J654" s="10"/>
    </row>
    <row r="655" spans="2:10" ht="15.75" customHeight="1" x14ac:dyDescent="0.3">
      <c r="B655" s="7"/>
      <c r="D655" s="7"/>
      <c r="G655" s="3"/>
      <c r="H655" s="10"/>
      <c r="I655" s="10"/>
      <c r="J655" s="10"/>
    </row>
    <row r="656" spans="2:10" ht="15.75" customHeight="1" x14ac:dyDescent="0.3">
      <c r="B656" s="7"/>
      <c r="D656" s="7"/>
      <c r="G656" s="3"/>
      <c r="H656" s="10"/>
      <c r="I656" s="10"/>
      <c r="J656" s="10"/>
    </row>
    <row r="657" spans="2:10" ht="15.75" customHeight="1" x14ac:dyDescent="0.3">
      <c r="B657" s="7"/>
      <c r="D657" s="7"/>
      <c r="G657" s="3"/>
      <c r="H657" s="10"/>
      <c r="I657" s="10"/>
      <c r="J657" s="10"/>
    </row>
    <row r="658" spans="2:10" ht="15.75" customHeight="1" x14ac:dyDescent="0.3">
      <c r="B658" s="7"/>
      <c r="D658" s="7"/>
      <c r="G658" s="3"/>
      <c r="H658" s="10"/>
      <c r="I658" s="10"/>
      <c r="J658" s="10"/>
    </row>
    <row r="659" spans="2:10" ht="15.75" customHeight="1" x14ac:dyDescent="0.3">
      <c r="B659" s="7"/>
      <c r="D659" s="7"/>
      <c r="G659" s="3"/>
      <c r="H659" s="10"/>
      <c r="I659" s="10"/>
      <c r="J659" s="10"/>
    </row>
    <row r="660" spans="2:10" ht="15.75" customHeight="1" x14ac:dyDescent="0.3">
      <c r="B660" s="7"/>
      <c r="D660" s="7"/>
      <c r="G660" s="3"/>
      <c r="H660" s="10"/>
      <c r="I660" s="10"/>
      <c r="J660" s="10"/>
    </row>
    <row r="661" spans="2:10" ht="15.75" customHeight="1" x14ac:dyDescent="0.3">
      <c r="B661" s="7"/>
      <c r="D661" s="7"/>
      <c r="G661" s="3"/>
      <c r="H661" s="10"/>
      <c r="I661" s="10"/>
      <c r="J661" s="10"/>
    </row>
    <row r="662" spans="2:10" ht="15.75" customHeight="1" x14ac:dyDescent="0.3">
      <c r="B662" s="7"/>
      <c r="D662" s="7"/>
      <c r="G662" s="3"/>
      <c r="H662" s="10"/>
      <c r="I662" s="10"/>
      <c r="J662" s="10"/>
    </row>
    <row r="663" spans="2:10" ht="15.75" customHeight="1" x14ac:dyDescent="0.3">
      <c r="B663" s="7"/>
      <c r="D663" s="7"/>
      <c r="G663" s="3"/>
      <c r="H663" s="10"/>
      <c r="I663" s="10"/>
      <c r="J663" s="10"/>
    </row>
    <row r="664" spans="2:10" ht="15.75" customHeight="1" x14ac:dyDescent="0.3">
      <c r="B664" s="7"/>
      <c r="D664" s="7"/>
      <c r="G664" s="3"/>
      <c r="H664" s="10"/>
      <c r="I664" s="10"/>
      <c r="J664" s="10"/>
    </row>
    <row r="665" spans="2:10" ht="15.75" customHeight="1" x14ac:dyDescent="0.3">
      <c r="B665" s="7"/>
      <c r="D665" s="7"/>
      <c r="G665" s="3"/>
      <c r="H665" s="10"/>
      <c r="I665" s="10"/>
      <c r="J665" s="10"/>
    </row>
    <row r="666" spans="2:10" ht="15.75" customHeight="1" x14ac:dyDescent="0.3">
      <c r="B666" s="7"/>
      <c r="D666" s="7"/>
      <c r="G666" s="3"/>
      <c r="H666" s="10"/>
      <c r="I666" s="10"/>
      <c r="J666" s="10"/>
    </row>
    <row r="667" spans="2:10" ht="15.75" customHeight="1" x14ac:dyDescent="0.3">
      <c r="B667" s="7"/>
      <c r="D667" s="7"/>
      <c r="G667" s="3"/>
      <c r="H667" s="10"/>
      <c r="I667" s="10"/>
      <c r="J667" s="10"/>
    </row>
    <row r="668" spans="2:10" ht="15.75" customHeight="1" x14ac:dyDescent="0.3">
      <c r="B668" s="7"/>
      <c r="D668" s="7"/>
      <c r="G668" s="3"/>
      <c r="H668" s="10"/>
      <c r="I668" s="10"/>
      <c r="J668" s="10"/>
    </row>
    <row r="669" spans="2:10" ht="15.75" customHeight="1" x14ac:dyDescent="0.3">
      <c r="B669" s="7"/>
      <c r="D669" s="7"/>
      <c r="G669" s="3"/>
      <c r="H669" s="10"/>
      <c r="I669" s="10"/>
      <c r="J669" s="10"/>
    </row>
    <row r="670" spans="2:10" ht="15.75" customHeight="1" x14ac:dyDescent="0.3">
      <c r="B670" s="7"/>
      <c r="D670" s="7"/>
      <c r="G670" s="3"/>
      <c r="H670" s="10"/>
      <c r="I670" s="10"/>
      <c r="J670" s="10"/>
    </row>
    <row r="671" spans="2:10" ht="15.75" customHeight="1" x14ac:dyDescent="0.3">
      <c r="B671" s="7"/>
      <c r="D671" s="7"/>
      <c r="G671" s="3"/>
      <c r="H671" s="10"/>
      <c r="I671" s="10"/>
      <c r="J671" s="10"/>
    </row>
    <row r="672" spans="2:10" ht="15.75" customHeight="1" x14ac:dyDescent="0.3">
      <c r="B672" s="7"/>
      <c r="D672" s="7"/>
      <c r="G672" s="3"/>
      <c r="H672" s="10"/>
      <c r="I672" s="10"/>
      <c r="J672" s="10"/>
    </row>
    <row r="673" spans="2:10" ht="15.75" customHeight="1" x14ac:dyDescent="0.3">
      <c r="B673" s="7"/>
      <c r="D673" s="7"/>
      <c r="G673" s="3"/>
      <c r="H673" s="10"/>
      <c r="I673" s="10"/>
      <c r="J673" s="10"/>
    </row>
    <row r="674" spans="2:10" ht="15.75" customHeight="1" x14ac:dyDescent="0.3">
      <c r="B674" s="7"/>
      <c r="D674" s="7"/>
      <c r="G674" s="3"/>
      <c r="H674" s="10"/>
      <c r="I674" s="10"/>
      <c r="J674" s="10"/>
    </row>
    <row r="675" spans="2:10" ht="15.75" customHeight="1" x14ac:dyDescent="0.3">
      <c r="B675" s="7"/>
      <c r="D675" s="7"/>
      <c r="G675" s="3"/>
      <c r="H675" s="10"/>
      <c r="I675" s="10"/>
      <c r="J675" s="10"/>
    </row>
    <row r="676" spans="2:10" ht="15.75" customHeight="1" x14ac:dyDescent="0.3">
      <c r="B676" s="7"/>
      <c r="D676" s="7"/>
      <c r="G676" s="3"/>
      <c r="H676" s="10"/>
      <c r="I676" s="10"/>
      <c r="J676" s="10"/>
    </row>
    <row r="677" spans="2:10" ht="15.75" customHeight="1" x14ac:dyDescent="0.3">
      <c r="B677" s="7"/>
      <c r="D677" s="7"/>
      <c r="G677" s="3"/>
      <c r="H677" s="10"/>
      <c r="I677" s="10"/>
      <c r="J677" s="10"/>
    </row>
    <row r="678" spans="2:10" ht="15.75" customHeight="1" x14ac:dyDescent="0.3">
      <c r="B678" s="7"/>
      <c r="D678" s="7"/>
      <c r="G678" s="3"/>
      <c r="H678" s="10"/>
      <c r="I678" s="10"/>
      <c r="J678" s="10"/>
    </row>
    <row r="679" spans="2:10" ht="15.75" customHeight="1" x14ac:dyDescent="0.3">
      <c r="B679" s="7"/>
      <c r="D679" s="7"/>
      <c r="G679" s="3"/>
      <c r="H679" s="10"/>
      <c r="I679" s="10"/>
      <c r="J679" s="10"/>
    </row>
    <row r="680" spans="2:10" ht="15.75" customHeight="1" x14ac:dyDescent="0.3">
      <c r="B680" s="7"/>
      <c r="D680" s="7"/>
      <c r="G680" s="3"/>
      <c r="H680" s="10"/>
      <c r="I680" s="10"/>
      <c r="J680" s="10"/>
    </row>
    <row r="681" spans="2:10" ht="15.75" customHeight="1" x14ac:dyDescent="0.3">
      <c r="B681" s="7"/>
      <c r="D681" s="7"/>
      <c r="G681" s="3"/>
      <c r="H681" s="10"/>
      <c r="I681" s="10"/>
      <c r="J681" s="10"/>
    </row>
    <row r="682" spans="2:10" ht="15.75" customHeight="1" x14ac:dyDescent="0.3">
      <c r="B682" s="7"/>
      <c r="D682" s="7"/>
      <c r="G682" s="3"/>
      <c r="H682" s="10"/>
      <c r="I682" s="10"/>
      <c r="J682" s="10"/>
    </row>
    <row r="683" spans="2:10" ht="15.75" customHeight="1" x14ac:dyDescent="0.3">
      <c r="B683" s="7"/>
      <c r="D683" s="7"/>
      <c r="G683" s="3"/>
      <c r="H683" s="10"/>
      <c r="I683" s="10"/>
      <c r="J683" s="10"/>
    </row>
    <row r="684" spans="2:10" ht="15.75" customHeight="1" x14ac:dyDescent="0.3">
      <c r="B684" s="7"/>
      <c r="D684" s="7"/>
      <c r="G684" s="3"/>
      <c r="H684" s="10"/>
      <c r="I684" s="10"/>
      <c r="J684" s="10"/>
    </row>
    <row r="685" spans="2:10" ht="15.75" customHeight="1" x14ac:dyDescent="0.3">
      <c r="B685" s="7"/>
      <c r="D685" s="7"/>
      <c r="G685" s="3"/>
      <c r="H685" s="10"/>
      <c r="I685" s="10"/>
      <c r="J685" s="10"/>
    </row>
    <row r="686" spans="2:10" ht="15.75" customHeight="1" x14ac:dyDescent="0.3">
      <c r="B686" s="7"/>
      <c r="D686" s="7"/>
      <c r="G686" s="3"/>
      <c r="H686" s="10"/>
      <c r="I686" s="10"/>
      <c r="J686" s="10"/>
    </row>
    <row r="687" spans="2:10" ht="15.75" customHeight="1" x14ac:dyDescent="0.3">
      <c r="B687" s="7"/>
      <c r="D687" s="7"/>
      <c r="G687" s="3"/>
      <c r="H687" s="10"/>
      <c r="I687" s="10"/>
      <c r="J687" s="10"/>
    </row>
    <row r="688" spans="2:10" ht="15.75" customHeight="1" x14ac:dyDescent="0.3">
      <c r="B688" s="7"/>
      <c r="D688" s="7"/>
      <c r="G688" s="3"/>
      <c r="H688" s="10"/>
      <c r="I688" s="10"/>
      <c r="J688" s="10"/>
    </row>
    <row r="689" spans="2:10" ht="15.75" customHeight="1" x14ac:dyDescent="0.3">
      <c r="B689" s="7"/>
      <c r="D689" s="7"/>
      <c r="G689" s="3"/>
      <c r="H689" s="10"/>
      <c r="I689" s="10"/>
      <c r="J689" s="10"/>
    </row>
    <row r="690" spans="2:10" ht="15.75" customHeight="1" x14ac:dyDescent="0.3">
      <c r="B690" s="7"/>
      <c r="D690" s="7"/>
      <c r="G690" s="3"/>
      <c r="H690" s="10"/>
      <c r="I690" s="10"/>
      <c r="J690" s="10"/>
    </row>
    <row r="691" spans="2:10" ht="15.75" customHeight="1" x14ac:dyDescent="0.3">
      <c r="B691" s="7"/>
      <c r="D691" s="7"/>
      <c r="G691" s="3"/>
      <c r="H691" s="10"/>
      <c r="I691" s="10"/>
      <c r="J691" s="10"/>
    </row>
    <row r="692" spans="2:10" ht="15.75" customHeight="1" x14ac:dyDescent="0.3">
      <c r="B692" s="7"/>
      <c r="D692" s="7"/>
      <c r="G692" s="3"/>
      <c r="H692" s="10"/>
      <c r="I692" s="10"/>
      <c r="J692" s="10"/>
    </row>
    <row r="693" spans="2:10" ht="15.75" customHeight="1" x14ac:dyDescent="0.3">
      <c r="B693" s="7"/>
      <c r="D693" s="7"/>
      <c r="G693" s="3"/>
      <c r="H693" s="10"/>
      <c r="I693" s="10"/>
      <c r="J693" s="10"/>
    </row>
    <row r="694" spans="2:10" ht="15.75" customHeight="1" x14ac:dyDescent="0.3">
      <c r="B694" s="7"/>
      <c r="D694" s="7"/>
      <c r="G694" s="3"/>
      <c r="H694" s="10"/>
      <c r="I694" s="10"/>
      <c r="J694" s="10"/>
    </row>
    <row r="695" spans="2:10" ht="15.75" customHeight="1" x14ac:dyDescent="0.3">
      <c r="B695" s="7"/>
      <c r="D695" s="7"/>
      <c r="G695" s="3"/>
      <c r="H695" s="10"/>
      <c r="I695" s="10"/>
      <c r="J695" s="10"/>
    </row>
    <row r="696" spans="2:10" ht="15.75" customHeight="1" x14ac:dyDescent="0.3">
      <c r="B696" s="7"/>
      <c r="D696" s="7"/>
      <c r="G696" s="3"/>
      <c r="H696" s="10"/>
      <c r="I696" s="10"/>
      <c r="J696" s="10"/>
    </row>
    <row r="697" spans="2:10" ht="15.75" customHeight="1" x14ac:dyDescent="0.3">
      <c r="B697" s="7"/>
      <c r="D697" s="7"/>
      <c r="G697" s="3"/>
      <c r="H697" s="10"/>
      <c r="I697" s="10"/>
      <c r="J697" s="10"/>
    </row>
    <row r="698" spans="2:10" ht="15.75" customHeight="1" x14ac:dyDescent="0.3">
      <c r="B698" s="7"/>
      <c r="D698" s="7"/>
      <c r="G698" s="3"/>
      <c r="H698" s="10"/>
      <c r="I698" s="10"/>
      <c r="J698" s="10"/>
    </row>
    <row r="699" spans="2:10" ht="15.75" customHeight="1" x14ac:dyDescent="0.3">
      <c r="B699" s="7"/>
      <c r="D699" s="7"/>
      <c r="G699" s="3"/>
      <c r="H699" s="10"/>
      <c r="I699" s="10"/>
      <c r="J699" s="10"/>
    </row>
    <row r="700" spans="2:10" ht="15.75" customHeight="1" x14ac:dyDescent="0.3">
      <c r="B700" s="7"/>
      <c r="D700" s="7"/>
      <c r="G700" s="3"/>
      <c r="H700" s="10"/>
      <c r="I700" s="10"/>
      <c r="J700" s="10"/>
    </row>
    <row r="701" spans="2:10" ht="15.75" customHeight="1" x14ac:dyDescent="0.3">
      <c r="B701" s="7"/>
      <c r="D701" s="7"/>
      <c r="G701" s="3"/>
      <c r="H701" s="10"/>
      <c r="I701" s="10"/>
      <c r="J701" s="10"/>
    </row>
    <row r="702" spans="2:10" ht="15.75" customHeight="1" x14ac:dyDescent="0.3">
      <c r="B702" s="7"/>
      <c r="D702" s="7"/>
      <c r="G702" s="3"/>
      <c r="H702" s="10"/>
      <c r="I702" s="10"/>
      <c r="J702" s="10"/>
    </row>
    <row r="703" spans="2:10" ht="15.75" customHeight="1" x14ac:dyDescent="0.3">
      <c r="B703" s="7"/>
      <c r="D703" s="7"/>
      <c r="G703" s="3"/>
      <c r="H703" s="10"/>
      <c r="I703" s="10"/>
      <c r="J703" s="10"/>
    </row>
    <row r="704" spans="2:10" ht="15.75" customHeight="1" x14ac:dyDescent="0.3">
      <c r="B704" s="7"/>
      <c r="D704" s="7"/>
      <c r="G704" s="3"/>
      <c r="H704" s="10"/>
      <c r="I704" s="10"/>
      <c r="J704" s="10"/>
    </row>
    <row r="705" spans="2:10" ht="15.75" customHeight="1" x14ac:dyDescent="0.3">
      <c r="B705" s="7"/>
      <c r="D705" s="7"/>
      <c r="G705" s="3"/>
      <c r="H705" s="10"/>
      <c r="I705" s="10"/>
      <c r="J705" s="10"/>
    </row>
    <row r="706" spans="2:10" ht="15.75" customHeight="1" x14ac:dyDescent="0.3">
      <c r="B706" s="7"/>
      <c r="D706" s="7"/>
      <c r="G706" s="3"/>
      <c r="H706" s="10"/>
      <c r="I706" s="10"/>
      <c r="J706" s="10"/>
    </row>
    <row r="707" spans="2:10" ht="15.75" customHeight="1" x14ac:dyDescent="0.3">
      <c r="B707" s="7"/>
      <c r="D707" s="7"/>
      <c r="G707" s="3"/>
      <c r="H707" s="10"/>
      <c r="I707" s="10"/>
      <c r="J707" s="10"/>
    </row>
    <row r="708" spans="2:10" ht="15.75" customHeight="1" x14ac:dyDescent="0.3">
      <c r="B708" s="7"/>
      <c r="D708" s="7"/>
      <c r="G708" s="3"/>
      <c r="H708" s="10"/>
      <c r="I708" s="10"/>
      <c r="J708" s="10"/>
    </row>
    <row r="709" spans="2:10" ht="15.75" customHeight="1" x14ac:dyDescent="0.3">
      <c r="B709" s="7"/>
      <c r="D709" s="7"/>
      <c r="G709" s="3"/>
      <c r="H709" s="10"/>
      <c r="I709" s="10"/>
      <c r="J709" s="10"/>
    </row>
    <row r="710" spans="2:10" ht="15.75" customHeight="1" x14ac:dyDescent="0.3">
      <c r="B710" s="7"/>
      <c r="D710" s="7"/>
      <c r="G710" s="3"/>
      <c r="H710" s="10"/>
      <c r="I710" s="10"/>
      <c r="J710" s="10"/>
    </row>
    <row r="711" spans="2:10" ht="15.75" customHeight="1" x14ac:dyDescent="0.3">
      <c r="B711" s="7"/>
      <c r="D711" s="7"/>
      <c r="G711" s="3"/>
      <c r="H711" s="10"/>
      <c r="I711" s="10"/>
      <c r="J711" s="10"/>
    </row>
    <row r="712" spans="2:10" ht="15.75" customHeight="1" x14ac:dyDescent="0.3">
      <c r="B712" s="7"/>
      <c r="D712" s="7"/>
      <c r="G712" s="3"/>
      <c r="H712" s="10"/>
      <c r="I712" s="10"/>
      <c r="J712" s="10"/>
    </row>
    <row r="713" spans="2:10" ht="15.75" customHeight="1" x14ac:dyDescent="0.3">
      <c r="B713" s="7"/>
      <c r="D713" s="7"/>
      <c r="G713" s="3"/>
      <c r="H713" s="10"/>
      <c r="I713" s="10"/>
      <c r="J713" s="10"/>
    </row>
    <row r="714" spans="2:10" ht="15.75" customHeight="1" x14ac:dyDescent="0.3">
      <c r="B714" s="7"/>
      <c r="D714" s="7"/>
      <c r="G714" s="3"/>
      <c r="H714" s="10"/>
      <c r="I714" s="10"/>
      <c r="J714" s="10"/>
    </row>
    <row r="715" spans="2:10" ht="15.75" customHeight="1" x14ac:dyDescent="0.3">
      <c r="B715" s="7"/>
      <c r="D715" s="7"/>
      <c r="G715" s="3"/>
      <c r="H715" s="10"/>
      <c r="I715" s="10"/>
      <c r="J715" s="10"/>
    </row>
    <row r="716" spans="2:10" ht="15.75" customHeight="1" x14ac:dyDescent="0.3">
      <c r="B716" s="7"/>
      <c r="D716" s="7"/>
      <c r="G716" s="3"/>
      <c r="H716" s="10"/>
      <c r="I716" s="10"/>
      <c r="J716" s="10"/>
    </row>
    <row r="717" spans="2:10" ht="15.75" customHeight="1" x14ac:dyDescent="0.3">
      <c r="B717" s="7"/>
      <c r="D717" s="7"/>
      <c r="G717" s="3"/>
      <c r="H717" s="10"/>
      <c r="I717" s="10"/>
      <c r="J717" s="10"/>
    </row>
    <row r="718" spans="2:10" ht="15.75" customHeight="1" x14ac:dyDescent="0.3">
      <c r="B718" s="7"/>
      <c r="D718" s="7"/>
      <c r="G718" s="3"/>
      <c r="H718" s="10"/>
      <c r="I718" s="10"/>
      <c r="J718" s="10"/>
    </row>
    <row r="719" spans="2:10" ht="15.75" customHeight="1" x14ac:dyDescent="0.3">
      <c r="B719" s="7"/>
      <c r="D719" s="7"/>
      <c r="G719" s="3"/>
      <c r="H719" s="10"/>
      <c r="I719" s="10"/>
      <c r="J719" s="10"/>
    </row>
    <row r="720" spans="2:10" ht="15.75" customHeight="1" x14ac:dyDescent="0.3">
      <c r="B720" s="7"/>
      <c r="D720" s="7"/>
      <c r="G720" s="3"/>
      <c r="H720" s="10"/>
      <c r="I720" s="10"/>
      <c r="J720" s="10"/>
    </row>
    <row r="721" spans="2:10" ht="15.75" customHeight="1" x14ac:dyDescent="0.3">
      <c r="B721" s="7"/>
      <c r="D721" s="7"/>
      <c r="G721" s="3"/>
      <c r="H721" s="10"/>
      <c r="I721" s="10"/>
      <c r="J721" s="10"/>
    </row>
    <row r="722" spans="2:10" ht="15.75" customHeight="1" x14ac:dyDescent="0.3">
      <c r="B722" s="7"/>
      <c r="D722" s="7"/>
      <c r="G722" s="3"/>
      <c r="H722" s="10"/>
      <c r="I722" s="10"/>
      <c r="J722" s="10"/>
    </row>
    <row r="723" spans="2:10" ht="15.75" customHeight="1" x14ac:dyDescent="0.3">
      <c r="B723" s="7"/>
      <c r="D723" s="7"/>
      <c r="G723" s="3"/>
      <c r="H723" s="10"/>
      <c r="I723" s="10"/>
      <c r="J723" s="10"/>
    </row>
    <row r="724" spans="2:10" ht="15.75" customHeight="1" x14ac:dyDescent="0.3">
      <c r="B724" s="7"/>
      <c r="D724" s="7"/>
      <c r="G724" s="3"/>
      <c r="H724" s="10"/>
      <c r="I724" s="10"/>
      <c r="J724" s="10"/>
    </row>
    <row r="725" spans="2:10" ht="15.75" customHeight="1" x14ac:dyDescent="0.3">
      <c r="B725" s="7"/>
      <c r="D725" s="7"/>
      <c r="G725" s="3"/>
      <c r="H725" s="10"/>
      <c r="I725" s="10"/>
      <c r="J725" s="10"/>
    </row>
    <row r="726" spans="2:10" ht="15.75" customHeight="1" x14ac:dyDescent="0.3">
      <c r="B726" s="7"/>
      <c r="D726" s="7"/>
      <c r="G726" s="3"/>
      <c r="H726" s="10"/>
      <c r="I726" s="10"/>
      <c r="J726" s="10"/>
    </row>
    <row r="727" spans="2:10" ht="15.75" customHeight="1" x14ac:dyDescent="0.3">
      <c r="B727" s="7"/>
      <c r="D727" s="7"/>
      <c r="G727" s="3"/>
      <c r="H727" s="10"/>
      <c r="I727" s="10"/>
      <c r="J727" s="10"/>
    </row>
    <row r="728" spans="2:10" ht="15.75" customHeight="1" x14ac:dyDescent="0.3">
      <c r="B728" s="7"/>
      <c r="D728" s="7"/>
      <c r="G728" s="3"/>
      <c r="H728" s="10"/>
      <c r="I728" s="10"/>
      <c r="J728" s="10"/>
    </row>
    <row r="729" spans="2:10" ht="15.75" customHeight="1" x14ac:dyDescent="0.3">
      <c r="B729" s="7"/>
      <c r="D729" s="7"/>
      <c r="G729" s="3"/>
      <c r="H729" s="10"/>
      <c r="I729" s="10"/>
      <c r="J729" s="10"/>
    </row>
    <row r="730" spans="2:10" ht="15.75" customHeight="1" x14ac:dyDescent="0.3">
      <c r="B730" s="7"/>
      <c r="D730" s="7"/>
      <c r="G730" s="3"/>
      <c r="H730" s="10"/>
      <c r="I730" s="10"/>
      <c r="J730" s="10"/>
    </row>
    <row r="731" spans="2:10" ht="15.75" customHeight="1" x14ac:dyDescent="0.3">
      <c r="B731" s="7"/>
      <c r="D731" s="7"/>
      <c r="G731" s="3"/>
      <c r="H731" s="10"/>
      <c r="I731" s="10"/>
      <c r="J731" s="10"/>
    </row>
    <row r="732" spans="2:10" ht="15.75" customHeight="1" x14ac:dyDescent="0.3">
      <c r="B732" s="7"/>
      <c r="D732" s="7"/>
      <c r="G732" s="3"/>
      <c r="H732" s="10"/>
      <c r="I732" s="10"/>
      <c r="J732" s="10"/>
    </row>
    <row r="733" spans="2:10" ht="15.75" customHeight="1" x14ac:dyDescent="0.3">
      <c r="B733" s="7"/>
      <c r="D733" s="7"/>
      <c r="G733" s="3"/>
      <c r="H733" s="10"/>
      <c r="I733" s="10"/>
      <c r="J733" s="10"/>
    </row>
    <row r="734" spans="2:10" ht="15.75" customHeight="1" x14ac:dyDescent="0.3">
      <c r="B734" s="7"/>
      <c r="D734" s="7"/>
      <c r="G734" s="3"/>
      <c r="H734" s="10"/>
      <c r="I734" s="10"/>
      <c r="J734" s="10"/>
    </row>
    <row r="735" spans="2:10" ht="15.75" customHeight="1" x14ac:dyDescent="0.3">
      <c r="B735" s="7"/>
      <c r="D735" s="7"/>
      <c r="G735" s="3"/>
      <c r="H735" s="10"/>
      <c r="I735" s="10"/>
      <c r="J735" s="10"/>
    </row>
    <row r="736" spans="2:10" ht="15.75" customHeight="1" x14ac:dyDescent="0.3">
      <c r="B736" s="7"/>
      <c r="D736" s="7"/>
      <c r="G736" s="3"/>
      <c r="H736" s="10"/>
      <c r="I736" s="10"/>
      <c r="J736" s="10"/>
    </row>
    <row r="737" spans="2:10" ht="15.75" customHeight="1" x14ac:dyDescent="0.3">
      <c r="B737" s="7"/>
      <c r="D737" s="7"/>
      <c r="G737" s="3"/>
      <c r="H737" s="10"/>
      <c r="I737" s="10"/>
      <c r="J737" s="10"/>
    </row>
    <row r="738" spans="2:10" ht="15.75" customHeight="1" x14ac:dyDescent="0.3">
      <c r="B738" s="7"/>
      <c r="D738" s="7"/>
      <c r="G738" s="3"/>
      <c r="H738" s="10"/>
      <c r="I738" s="10"/>
      <c r="J738" s="10"/>
    </row>
    <row r="739" spans="2:10" ht="15.75" customHeight="1" x14ac:dyDescent="0.3">
      <c r="B739" s="7"/>
      <c r="D739" s="7"/>
      <c r="G739" s="3"/>
      <c r="H739" s="10"/>
      <c r="I739" s="10"/>
      <c r="J739" s="10"/>
    </row>
    <row r="740" spans="2:10" ht="15.75" customHeight="1" x14ac:dyDescent="0.3">
      <c r="B740" s="7"/>
      <c r="D740" s="7"/>
      <c r="G740" s="3"/>
      <c r="H740" s="10"/>
      <c r="I740" s="10"/>
      <c r="J740" s="10"/>
    </row>
    <row r="741" spans="2:10" ht="15.75" customHeight="1" x14ac:dyDescent="0.3">
      <c r="B741" s="7"/>
      <c r="D741" s="7"/>
      <c r="G741" s="3"/>
      <c r="H741" s="10"/>
      <c r="I741" s="10"/>
      <c r="J741" s="10"/>
    </row>
    <row r="742" spans="2:10" ht="15.75" customHeight="1" x14ac:dyDescent="0.3">
      <c r="B742" s="7"/>
      <c r="D742" s="7"/>
      <c r="G742" s="3"/>
      <c r="H742" s="10"/>
      <c r="I742" s="10"/>
      <c r="J742" s="10"/>
    </row>
    <row r="743" spans="2:10" ht="15.75" customHeight="1" x14ac:dyDescent="0.3">
      <c r="B743" s="7"/>
      <c r="D743" s="7"/>
      <c r="G743" s="3"/>
      <c r="H743" s="10"/>
      <c r="I743" s="10"/>
      <c r="J743" s="10"/>
    </row>
    <row r="744" spans="2:10" ht="15.75" customHeight="1" x14ac:dyDescent="0.3">
      <c r="B744" s="7"/>
      <c r="D744" s="7"/>
      <c r="G744" s="3"/>
      <c r="H744" s="10"/>
      <c r="I744" s="10"/>
      <c r="J744" s="10"/>
    </row>
    <row r="745" spans="2:10" ht="15.75" customHeight="1" x14ac:dyDescent="0.3">
      <c r="B745" s="7"/>
      <c r="D745" s="7"/>
      <c r="G745" s="3"/>
      <c r="H745" s="10"/>
      <c r="I745" s="10"/>
      <c r="J745" s="10"/>
    </row>
    <row r="746" spans="2:10" ht="15.75" customHeight="1" x14ac:dyDescent="0.3">
      <c r="B746" s="7"/>
      <c r="D746" s="7"/>
      <c r="G746" s="3"/>
      <c r="H746" s="10"/>
      <c r="I746" s="10"/>
      <c r="J746" s="10"/>
    </row>
    <row r="747" spans="2:10" ht="15.75" customHeight="1" x14ac:dyDescent="0.3">
      <c r="B747" s="7"/>
      <c r="D747" s="7"/>
      <c r="G747" s="3"/>
      <c r="H747" s="10"/>
      <c r="I747" s="10"/>
      <c r="J747" s="10"/>
    </row>
    <row r="748" spans="2:10" ht="15.75" customHeight="1" x14ac:dyDescent="0.3">
      <c r="B748" s="7"/>
      <c r="D748" s="7"/>
      <c r="G748" s="3"/>
      <c r="H748" s="10"/>
      <c r="I748" s="10"/>
      <c r="J748" s="10"/>
    </row>
    <row r="749" spans="2:10" ht="15.75" customHeight="1" x14ac:dyDescent="0.3">
      <c r="B749" s="7"/>
      <c r="D749" s="7"/>
      <c r="G749" s="3"/>
      <c r="H749" s="10"/>
      <c r="I749" s="10"/>
      <c r="J749" s="10"/>
    </row>
    <row r="750" spans="2:10" ht="15.75" customHeight="1" x14ac:dyDescent="0.3">
      <c r="B750" s="7"/>
      <c r="D750" s="7"/>
      <c r="G750" s="3"/>
      <c r="H750" s="10"/>
      <c r="I750" s="10"/>
      <c r="J750" s="10"/>
    </row>
    <row r="751" spans="2:10" ht="15.75" customHeight="1" x14ac:dyDescent="0.3">
      <c r="B751" s="7"/>
      <c r="D751" s="7"/>
      <c r="G751" s="3"/>
      <c r="H751" s="10"/>
      <c r="I751" s="10"/>
      <c r="J751" s="10"/>
    </row>
    <row r="752" spans="2:10" ht="15.75" customHeight="1" x14ac:dyDescent="0.3">
      <c r="B752" s="7"/>
      <c r="D752" s="7"/>
      <c r="G752" s="3"/>
      <c r="H752" s="10"/>
      <c r="I752" s="10"/>
      <c r="J752" s="10"/>
    </row>
    <row r="753" spans="2:10" ht="15.75" customHeight="1" x14ac:dyDescent="0.3">
      <c r="B753" s="7"/>
      <c r="D753" s="7"/>
      <c r="G753" s="3"/>
      <c r="H753" s="10"/>
      <c r="I753" s="10"/>
      <c r="J753" s="10"/>
    </row>
    <row r="754" spans="2:10" ht="15.75" customHeight="1" x14ac:dyDescent="0.3">
      <c r="B754" s="7"/>
      <c r="D754" s="7"/>
      <c r="G754" s="3"/>
      <c r="H754" s="10"/>
      <c r="I754" s="10"/>
      <c r="J754" s="10"/>
    </row>
    <row r="755" spans="2:10" ht="15.75" customHeight="1" x14ac:dyDescent="0.3">
      <c r="B755" s="7"/>
      <c r="D755" s="7"/>
      <c r="G755" s="3"/>
      <c r="H755" s="10"/>
      <c r="I755" s="10"/>
      <c r="J755" s="10"/>
    </row>
    <row r="756" spans="2:10" ht="15.75" customHeight="1" x14ac:dyDescent="0.3">
      <c r="B756" s="7"/>
      <c r="D756" s="7"/>
      <c r="G756" s="3"/>
      <c r="H756" s="10"/>
      <c r="I756" s="10"/>
      <c r="J756" s="10"/>
    </row>
    <row r="757" spans="2:10" ht="15.75" customHeight="1" x14ac:dyDescent="0.3">
      <c r="B757" s="7"/>
      <c r="D757" s="7"/>
      <c r="G757" s="3"/>
      <c r="H757" s="10"/>
      <c r="I757" s="10"/>
      <c r="J757" s="10"/>
    </row>
    <row r="758" spans="2:10" ht="15.75" customHeight="1" x14ac:dyDescent="0.3">
      <c r="B758" s="7"/>
      <c r="D758" s="7"/>
      <c r="G758" s="3"/>
      <c r="H758" s="10"/>
      <c r="I758" s="10"/>
      <c r="J758" s="10"/>
    </row>
    <row r="759" spans="2:10" ht="15.75" customHeight="1" x14ac:dyDescent="0.3">
      <c r="B759" s="7"/>
      <c r="D759" s="7"/>
      <c r="G759" s="3"/>
      <c r="H759" s="10"/>
      <c r="I759" s="10"/>
      <c r="J759" s="10"/>
    </row>
    <row r="760" spans="2:10" ht="15.75" customHeight="1" x14ac:dyDescent="0.3">
      <c r="B760" s="7"/>
      <c r="D760" s="7"/>
      <c r="G760" s="3"/>
      <c r="H760" s="10"/>
      <c r="I760" s="10"/>
      <c r="J760" s="10"/>
    </row>
    <row r="761" spans="2:10" ht="15.75" customHeight="1" x14ac:dyDescent="0.3">
      <c r="B761" s="7"/>
      <c r="D761" s="7"/>
      <c r="G761" s="3"/>
      <c r="H761" s="10"/>
      <c r="I761" s="10"/>
      <c r="J761" s="10"/>
    </row>
    <row r="762" spans="2:10" ht="15.75" customHeight="1" x14ac:dyDescent="0.3">
      <c r="B762" s="7"/>
      <c r="D762" s="7"/>
      <c r="G762" s="3"/>
      <c r="H762" s="10"/>
      <c r="I762" s="10"/>
      <c r="J762" s="10"/>
    </row>
    <row r="763" spans="2:10" ht="15.75" customHeight="1" x14ac:dyDescent="0.3">
      <c r="B763" s="7"/>
      <c r="D763" s="7"/>
      <c r="G763" s="3"/>
      <c r="H763" s="10"/>
      <c r="I763" s="10"/>
      <c r="J763" s="10"/>
    </row>
    <row r="764" spans="2:10" ht="15.75" customHeight="1" x14ac:dyDescent="0.3">
      <c r="B764" s="7"/>
      <c r="D764" s="7"/>
      <c r="G764" s="3"/>
      <c r="H764" s="10"/>
      <c r="I764" s="10"/>
      <c r="J764" s="10"/>
    </row>
    <row r="765" spans="2:10" ht="15.75" customHeight="1" x14ac:dyDescent="0.3">
      <c r="B765" s="7"/>
      <c r="D765" s="7"/>
      <c r="G765" s="3"/>
      <c r="H765" s="10"/>
      <c r="I765" s="10"/>
      <c r="J765" s="10"/>
    </row>
    <row r="766" spans="2:10" ht="15.75" customHeight="1" x14ac:dyDescent="0.3">
      <c r="B766" s="7"/>
      <c r="D766" s="7"/>
      <c r="G766" s="3"/>
      <c r="H766" s="10"/>
      <c r="I766" s="10"/>
      <c r="J766" s="10"/>
    </row>
    <row r="767" spans="2:10" ht="15.75" customHeight="1" x14ac:dyDescent="0.3">
      <c r="B767" s="7"/>
      <c r="D767" s="7"/>
      <c r="G767" s="3"/>
      <c r="H767" s="10"/>
      <c r="I767" s="10"/>
      <c r="J767" s="10"/>
    </row>
    <row r="768" spans="2:10" ht="15.75" customHeight="1" x14ac:dyDescent="0.3">
      <c r="B768" s="7"/>
      <c r="D768" s="7"/>
      <c r="G768" s="3"/>
      <c r="H768" s="10"/>
      <c r="I768" s="10"/>
      <c r="J768" s="10"/>
    </row>
    <row r="769" spans="2:10" ht="15.75" customHeight="1" x14ac:dyDescent="0.3">
      <c r="B769" s="7"/>
      <c r="D769" s="7"/>
      <c r="G769" s="3"/>
      <c r="H769" s="10"/>
      <c r="I769" s="10"/>
      <c r="J769" s="10"/>
    </row>
    <row r="770" spans="2:10" ht="15.75" customHeight="1" x14ac:dyDescent="0.3">
      <c r="B770" s="7"/>
      <c r="D770" s="7"/>
      <c r="G770" s="3"/>
      <c r="H770" s="10"/>
      <c r="I770" s="10"/>
      <c r="J770" s="10"/>
    </row>
    <row r="771" spans="2:10" ht="15.75" customHeight="1" x14ac:dyDescent="0.3">
      <c r="B771" s="7"/>
      <c r="D771" s="7"/>
      <c r="G771" s="3"/>
      <c r="H771" s="10"/>
      <c r="I771" s="10"/>
      <c r="J771" s="10"/>
    </row>
    <row r="772" spans="2:10" ht="15.75" customHeight="1" x14ac:dyDescent="0.3">
      <c r="B772" s="7"/>
      <c r="D772" s="7"/>
      <c r="G772" s="3"/>
      <c r="H772" s="10"/>
      <c r="I772" s="10"/>
      <c r="J772" s="10"/>
    </row>
    <row r="773" spans="2:10" ht="15.75" customHeight="1" x14ac:dyDescent="0.3">
      <c r="B773" s="7"/>
      <c r="D773" s="7"/>
      <c r="G773" s="3"/>
      <c r="H773" s="10"/>
      <c r="I773" s="10"/>
      <c r="J773" s="10"/>
    </row>
    <row r="774" spans="2:10" ht="15.75" customHeight="1" x14ac:dyDescent="0.3">
      <c r="B774" s="7"/>
      <c r="D774" s="7"/>
      <c r="G774" s="3"/>
      <c r="H774" s="10"/>
      <c r="I774" s="10"/>
      <c r="J774" s="10"/>
    </row>
    <row r="775" spans="2:10" ht="15.75" customHeight="1" x14ac:dyDescent="0.3">
      <c r="B775" s="7"/>
      <c r="D775" s="7"/>
      <c r="G775" s="3"/>
      <c r="H775" s="10"/>
      <c r="I775" s="10"/>
      <c r="J775" s="10"/>
    </row>
    <row r="776" spans="2:10" ht="15.75" customHeight="1" x14ac:dyDescent="0.3">
      <c r="B776" s="7"/>
      <c r="D776" s="7"/>
      <c r="G776" s="3"/>
      <c r="H776" s="10"/>
      <c r="I776" s="10"/>
      <c r="J776" s="10"/>
    </row>
    <row r="777" spans="2:10" ht="15.75" customHeight="1" x14ac:dyDescent="0.3">
      <c r="B777" s="7"/>
      <c r="D777" s="7"/>
      <c r="G777" s="3"/>
      <c r="H777" s="10"/>
      <c r="I777" s="10"/>
      <c r="J777" s="10"/>
    </row>
    <row r="778" spans="2:10" ht="15.75" customHeight="1" x14ac:dyDescent="0.3">
      <c r="B778" s="7"/>
      <c r="D778" s="7"/>
      <c r="G778" s="3"/>
      <c r="H778" s="10"/>
      <c r="I778" s="10"/>
      <c r="J778" s="10"/>
    </row>
    <row r="779" spans="2:10" ht="15.75" customHeight="1" x14ac:dyDescent="0.3">
      <c r="B779" s="7"/>
      <c r="D779" s="7"/>
      <c r="G779" s="3"/>
      <c r="H779" s="10"/>
      <c r="I779" s="10"/>
      <c r="J779" s="10"/>
    </row>
    <row r="780" spans="2:10" ht="15.75" customHeight="1" x14ac:dyDescent="0.3">
      <c r="B780" s="7"/>
      <c r="D780" s="7"/>
      <c r="G780" s="3"/>
      <c r="H780" s="10"/>
      <c r="I780" s="10"/>
      <c r="J780" s="10"/>
    </row>
    <row r="781" spans="2:10" ht="15.75" customHeight="1" x14ac:dyDescent="0.3">
      <c r="B781" s="7"/>
      <c r="D781" s="7"/>
      <c r="G781" s="3"/>
      <c r="H781" s="10"/>
      <c r="I781" s="10"/>
      <c r="J781" s="10"/>
    </row>
    <row r="782" spans="2:10" ht="15.75" customHeight="1" x14ac:dyDescent="0.3">
      <c r="B782" s="7"/>
      <c r="D782" s="7"/>
      <c r="G782" s="3"/>
      <c r="H782" s="10"/>
      <c r="I782" s="10"/>
      <c r="J782" s="10"/>
    </row>
    <row r="783" spans="2:10" ht="15.75" customHeight="1" x14ac:dyDescent="0.3">
      <c r="B783" s="7"/>
      <c r="D783" s="7"/>
      <c r="G783" s="3"/>
      <c r="H783" s="10"/>
      <c r="I783" s="10"/>
      <c r="J783" s="10"/>
    </row>
    <row r="784" spans="2:10" ht="15.75" customHeight="1" x14ac:dyDescent="0.3">
      <c r="B784" s="7"/>
      <c r="D784" s="7"/>
      <c r="G784" s="3"/>
      <c r="H784" s="10"/>
      <c r="I784" s="10"/>
      <c r="J784" s="10"/>
    </row>
    <row r="785" spans="2:10" ht="15.75" customHeight="1" x14ac:dyDescent="0.3">
      <c r="B785" s="7"/>
      <c r="D785" s="7"/>
      <c r="G785" s="3"/>
      <c r="H785" s="10"/>
      <c r="I785" s="10"/>
      <c r="J785" s="10"/>
    </row>
    <row r="786" spans="2:10" ht="15.75" customHeight="1" x14ac:dyDescent="0.3">
      <c r="B786" s="7"/>
      <c r="D786" s="7"/>
      <c r="G786" s="3"/>
      <c r="H786" s="10"/>
      <c r="I786" s="10"/>
      <c r="J786" s="10"/>
    </row>
    <row r="787" spans="2:10" ht="15.75" customHeight="1" x14ac:dyDescent="0.3">
      <c r="B787" s="7"/>
      <c r="D787" s="7"/>
      <c r="G787" s="3"/>
      <c r="H787" s="10"/>
      <c r="I787" s="10"/>
      <c r="J787" s="10"/>
    </row>
    <row r="788" spans="2:10" ht="15.75" customHeight="1" x14ac:dyDescent="0.3">
      <c r="B788" s="7"/>
      <c r="D788" s="7"/>
      <c r="G788" s="3"/>
      <c r="H788" s="10"/>
      <c r="I788" s="10"/>
      <c r="J788" s="10"/>
    </row>
    <row r="789" spans="2:10" ht="15.75" customHeight="1" x14ac:dyDescent="0.3">
      <c r="B789" s="7"/>
      <c r="D789" s="7"/>
      <c r="G789" s="3"/>
      <c r="H789" s="10"/>
      <c r="I789" s="10"/>
      <c r="J789" s="10"/>
    </row>
    <row r="790" spans="2:10" ht="15.75" customHeight="1" x14ac:dyDescent="0.3">
      <c r="B790" s="7"/>
      <c r="D790" s="7"/>
      <c r="G790" s="3"/>
      <c r="H790" s="10"/>
      <c r="I790" s="10"/>
      <c r="J790" s="10"/>
    </row>
    <row r="791" spans="2:10" ht="15.75" customHeight="1" x14ac:dyDescent="0.3">
      <c r="B791" s="7"/>
      <c r="D791" s="7"/>
      <c r="G791" s="3"/>
      <c r="H791" s="10"/>
      <c r="I791" s="10"/>
      <c r="J791" s="10"/>
    </row>
    <row r="792" spans="2:10" ht="15.75" customHeight="1" x14ac:dyDescent="0.3">
      <c r="B792" s="7"/>
      <c r="D792" s="7"/>
      <c r="G792" s="3"/>
      <c r="H792" s="10"/>
      <c r="I792" s="10"/>
      <c r="J792" s="10"/>
    </row>
    <row r="793" spans="2:10" ht="15.75" customHeight="1" x14ac:dyDescent="0.3">
      <c r="B793" s="7"/>
      <c r="D793" s="7"/>
      <c r="G793" s="3"/>
      <c r="H793" s="10"/>
      <c r="I793" s="10"/>
      <c r="J793" s="10"/>
    </row>
    <row r="794" spans="2:10" ht="15.75" customHeight="1" x14ac:dyDescent="0.3">
      <c r="B794" s="7"/>
      <c r="D794" s="7"/>
      <c r="G794" s="3"/>
      <c r="H794" s="10"/>
      <c r="I794" s="10"/>
      <c r="J794" s="10"/>
    </row>
    <row r="795" spans="2:10" ht="15.75" customHeight="1" x14ac:dyDescent="0.3">
      <c r="B795" s="7"/>
      <c r="D795" s="7"/>
      <c r="G795" s="3"/>
      <c r="H795" s="10"/>
      <c r="I795" s="10"/>
      <c r="J795" s="10"/>
    </row>
    <row r="796" spans="2:10" ht="15.75" customHeight="1" x14ac:dyDescent="0.3">
      <c r="B796" s="7"/>
      <c r="D796" s="7"/>
      <c r="G796" s="3"/>
      <c r="H796" s="10"/>
      <c r="I796" s="10"/>
      <c r="J796" s="10"/>
    </row>
    <row r="797" spans="2:10" ht="15.75" customHeight="1" x14ac:dyDescent="0.3">
      <c r="B797" s="7"/>
      <c r="D797" s="7"/>
      <c r="G797" s="3"/>
      <c r="H797" s="10"/>
      <c r="I797" s="10"/>
      <c r="J797" s="10"/>
    </row>
    <row r="798" spans="2:10" ht="15.75" customHeight="1" x14ac:dyDescent="0.3">
      <c r="B798" s="7"/>
      <c r="D798" s="7"/>
      <c r="G798" s="3"/>
      <c r="H798" s="10"/>
      <c r="I798" s="10"/>
      <c r="J798" s="10"/>
    </row>
    <row r="799" spans="2:10" ht="15.75" customHeight="1" x14ac:dyDescent="0.3">
      <c r="B799" s="7"/>
      <c r="D799" s="7"/>
      <c r="G799" s="3"/>
      <c r="H799" s="10"/>
      <c r="I799" s="10"/>
      <c r="J799" s="10"/>
    </row>
    <row r="800" spans="2:10" ht="15.75" customHeight="1" x14ac:dyDescent="0.3">
      <c r="B800" s="7"/>
      <c r="D800" s="7"/>
      <c r="G800" s="3"/>
      <c r="H800" s="10"/>
      <c r="I800" s="10"/>
      <c r="J800" s="10"/>
    </row>
    <row r="801" spans="2:10" ht="15.75" customHeight="1" x14ac:dyDescent="0.3">
      <c r="B801" s="7"/>
      <c r="D801" s="7"/>
      <c r="G801" s="3"/>
      <c r="H801" s="10"/>
      <c r="I801" s="10"/>
      <c r="J801" s="10"/>
    </row>
    <row r="802" spans="2:10" ht="15.75" customHeight="1" x14ac:dyDescent="0.3">
      <c r="B802" s="7"/>
      <c r="D802" s="7"/>
      <c r="G802" s="3"/>
      <c r="H802" s="10"/>
      <c r="I802" s="10"/>
      <c r="J802" s="10"/>
    </row>
    <row r="803" spans="2:10" ht="15.75" customHeight="1" x14ac:dyDescent="0.3">
      <c r="B803" s="7"/>
      <c r="D803" s="7"/>
      <c r="G803" s="3"/>
      <c r="H803" s="10"/>
      <c r="I803" s="10"/>
      <c r="J803" s="10"/>
    </row>
    <row r="804" spans="2:10" ht="15.75" customHeight="1" x14ac:dyDescent="0.3">
      <c r="B804" s="7"/>
      <c r="D804" s="7"/>
      <c r="G804" s="3"/>
      <c r="H804" s="10"/>
      <c r="I804" s="10"/>
      <c r="J804" s="10"/>
    </row>
    <row r="805" spans="2:10" ht="15.75" customHeight="1" x14ac:dyDescent="0.3">
      <c r="B805" s="7"/>
      <c r="D805" s="7"/>
      <c r="G805" s="3"/>
      <c r="H805" s="10"/>
      <c r="I805" s="10"/>
      <c r="J805" s="10"/>
    </row>
    <row r="806" spans="2:10" ht="15.75" customHeight="1" x14ac:dyDescent="0.3">
      <c r="B806" s="7"/>
      <c r="D806" s="7"/>
      <c r="G806" s="3"/>
      <c r="H806" s="10"/>
      <c r="I806" s="10"/>
      <c r="J806" s="10"/>
    </row>
    <row r="807" spans="2:10" ht="15.75" customHeight="1" x14ac:dyDescent="0.3">
      <c r="B807" s="7"/>
      <c r="D807" s="7"/>
      <c r="G807" s="3"/>
      <c r="H807" s="10"/>
      <c r="I807" s="10"/>
      <c r="J807" s="10"/>
    </row>
    <row r="808" spans="2:10" ht="15.75" customHeight="1" x14ac:dyDescent="0.3">
      <c r="B808" s="7"/>
      <c r="D808" s="7"/>
      <c r="G808" s="3"/>
      <c r="H808" s="10"/>
      <c r="I808" s="10"/>
      <c r="J808" s="10"/>
    </row>
    <row r="809" spans="2:10" ht="15.75" customHeight="1" x14ac:dyDescent="0.3">
      <c r="B809" s="7"/>
      <c r="D809" s="7"/>
      <c r="G809" s="3"/>
      <c r="H809" s="10"/>
      <c r="I809" s="10"/>
      <c r="J809" s="10"/>
    </row>
    <row r="810" spans="2:10" ht="15.75" customHeight="1" x14ac:dyDescent="0.3">
      <c r="B810" s="7"/>
      <c r="D810" s="7"/>
      <c r="G810" s="3"/>
      <c r="H810" s="10"/>
      <c r="I810" s="10"/>
      <c r="J810" s="10"/>
    </row>
    <row r="811" spans="2:10" ht="15.75" customHeight="1" x14ac:dyDescent="0.3">
      <c r="B811" s="7"/>
      <c r="D811" s="7"/>
      <c r="G811" s="3"/>
      <c r="H811" s="10"/>
      <c r="I811" s="10"/>
      <c r="J811" s="10"/>
    </row>
    <row r="812" spans="2:10" ht="15.75" customHeight="1" x14ac:dyDescent="0.3">
      <c r="B812" s="7"/>
      <c r="D812" s="7"/>
      <c r="G812" s="3"/>
      <c r="H812" s="10"/>
      <c r="I812" s="10"/>
      <c r="J812" s="10"/>
    </row>
    <row r="813" spans="2:10" ht="15.75" customHeight="1" x14ac:dyDescent="0.3">
      <c r="B813" s="7"/>
      <c r="D813" s="7"/>
      <c r="G813" s="3"/>
      <c r="H813" s="10"/>
      <c r="I813" s="10"/>
      <c r="J813" s="10"/>
    </row>
    <row r="814" spans="2:10" ht="15.75" customHeight="1" x14ac:dyDescent="0.3">
      <c r="B814" s="7"/>
      <c r="D814" s="7"/>
      <c r="G814" s="3"/>
      <c r="H814" s="10"/>
      <c r="I814" s="10"/>
      <c r="J814" s="10"/>
    </row>
    <row r="815" spans="2:10" ht="15.75" customHeight="1" x14ac:dyDescent="0.3">
      <c r="B815" s="7"/>
      <c r="D815" s="7"/>
      <c r="G815" s="3"/>
      <c r="H815" s="10"/>
      <c r="I815" s="10"/>
      <c r="J815" s="10"/>
    </row>
    <row r="816" spans="2:10" ht="15.75" customHeight="1" x14ac:dyDescent="0.3">
      <c r="B816" s="7"/>
      <c r="D816" s="7"/>
      <c r="G816" s="3"/>
      <c r="H816" s="10"/>
      <c r="I816" s="10"/>
      <c r="J816" s="10"/>
    </row>
    <row r="817" spans="2:10" ht="15.75" customHeight="1" x14ac:dyDescent="0.3">
      <c r="B817" s="7"/>
      <c r="D817" s="7"/>
      <c r="G817" s="3"/>
      <c r="H817" s="10"/>
      <c r="I817" s="10"/>
      <c r="J817" s="10"/>
    </row>
    <row r="818" spans="2:10" ht="15.75" customHeight="1" x14ac:dyDescent="0.3">
      <c r="B818" s="7"/>
      <c r="D818" s="7"/>
      <c r="G818" s="3"/>
      <c r="H818" s="10"/>
      <c r="I818" s="10"/>
      <c r="J818" s="10"/>
    </row>
    <row r="819" spans="2:10" ht="15.75" customHeight="1" x14ac:dyDescent="0.3">
      <c r="B819" s="7"/>
      <c r="D819" s="7"/>
      <c r="G819" s="3"/>
      <c r="H819" s="10"/>
      <c r="I819" s="10"/>
      <c r="J819" s="10"/>
    </row>
    <row r="820" spans="2:10" ht="15.75" customHeight="1" x14ac:dyDescent="0.3">
      <c r="B820" s="7"/>
      <c r="D820" s="7"/>
      <c r="G820" s="3"/>
      <c r="H820" s="10"/>
      <c r="I820" s="10"/>
      <c r="J820" s="10"/>
    </row>
    <row r="821" spans="2:10" ht="15.75" customHeight="1" x14ac:dyDescent="0.3">
      <c r="B821" s="7"/>
      <c r="D821" s="7"/>
      <c r="G821" s="3"/>
      <c r="H821" s="10"/>
      <c r="I821" s="10"/>
      <c r="J821" s="10"/>
    </row>
    <row r="822" spans="2:10" ht="15.75" customHeight="1" x14ac:dyDescent="0.3">
      <c r="B822" s="7"/>
      <c r="D822" s="7"/>
      <c r="G822" s="3"/>
      <c r="H822" s="10"/>
      <c r="I822" s="10"/>
      <c r="J822" s="10"/>
    </row>
    <row r="823" spans="2:10" ht="15.75" customHeight="1" x14ac:dyDescent="0.3">
      <c r="B823" s="7"/>
      <c r="D823" s="7"/>
      <c r="G823" s="3"/>
      <c r="H823" s="10"/>
      <c r="I823" s="10"/>
      <c r="J823" s="10"/>
    </row>
    <row r="824" spans="2:10" ht="15.75" customHeight="1" x14ac:dyDescent="0.3">
      <c r="B824" s="7"/>
      <c r="D824" s="7"/>
      <c r="G824" s="3"/>
      <c r="H824" s="10"/>
      <c r="I824" s="10"/>
      <c r="J824" s="10"/>
    </row>
    <row r="825" spans="2:10" ht="15.75" customHeight="1" x14ac:dyDescent="0.3">
      <c r="B825" s="7"/>
      <c r="D825" s="7"/>
      <c r="G825" s="3"/>
      <c r="H825" s="10"/>
      <c r="I825" s="10"/>
      <c r="J825" s="10"/>
    </row>
    <row r="826" spans="2:10" ht="15.75" customHeight="1" x14ac:dyDescent="0.3">
      <c r="B826" s="7"/>
      <c r="D826" s="7"/>
      <c r="G826" s="3"/>
      <c r="H826" s="10"/>
      <c r="I826" s="10"/>
      <c r="J826" s="10"/>
    </row>
    <row r="827" spans="2:10" ht="15.75" customHeight="1" x14ac:dyDescent="0.3">
      <c r="B827" s="7"/>
      <c r="D827" s="7"/>
      <c r="G827" s="3"/>
      <c r="H827" s="10"/>
      <c r="I827" s="10"/>
      <c r="J827" s="10"/>
    </row>
    <row r="828" spans="2:10" ht="15.75" customHeight="1" x14ac:dyDescent="0.3">
      <c r="B828" s="7"/>
      <c r="D828" s="7"/>
      <c r="G828" s="3"/>
      <c r="H828" s="10"/>
      <c r="I828" s="10"/>
      <c r="J828" s="10"/>
    </row>
    <row r="829" spans="2:10" ht="15.75" customHeight="1" x14ac:dyDescent="0.3">
      <c r="B829" s="7"/>
      <c r="D829" s="7"/>
      <c r="G829" s="3"/>
      <c r="H829" s="10"/>
      <c r="I829" s="10"/>
      <c r="J829" s="10"/>
    </row>
    <row r="830" spans="2:10" ht="15.75" customHeight="1" x14ac:dyDescent="0.3">
      <c r="B830" s="7"/>
      <c r="D830" s="7"/>
      <c r="G830" s="3"/>
      <c r="H830" s="10"/>
      <c r="I830" s="10"/>
      <c r="J830" s="10"/>
    </row>
    <row r="831" spans="2:10" ht="15.75" customHeight="1" x14ac:dyDescent="0.3">
      <c r="B831" s="7"/>
      <c r="D831" s="7"/>
      <c r="G831" s="3"/>
      <c r="H831" s="10"/>
      <c r="I831" s="10"/>
      <c r="J831" s="10"/>
    </row>
    <row r="832" spans="2:10" ht="15.75" customHeight="1" x14ac:dyDescent="0.3">
      <c r="B832" s="7"/>
      <c r="D832" s="7"/>
      <c r="G832" s="3"/>
      <c r="H832" s="10"/>
      <c r="I832" s="10"/>
      <c r="J832" s="10"/>
    </row>
    <row r="833" spans="2:10" ht="15.75" customHeight="1" x14ac:dyDescent="0.3">
      <c r="B833" s="7"/>
      <c r="D833" s="7"/>
      <c r="G833" s="3"/>
      <c r="H833" s="10"/>
      <c r="I833" s="10"/>
      <c r="J833" s="10"/>
    </row>
    <row r="834" spans="2:10" ht="15.75" customHeight="1" x14ac:dyDescent="0.3">
      <c r="B834" s="7"/>
      <c r="D834" s="7"/>
      <c r="G834" s="3"/>
      <c r="H834" s="10"/>
      <c r="I834" s="10"/>
      <c r="J834" s="10"/>
    </row>
    <row r="835" spans="2:10" ht="15.75" customHeight="1" x14ac:dyDescent="0.3">
      <c r="B835" s="7"/>
      <c r="D835" s="7"/>
      <c r="G835" s="3"/>
      <c r="H835" s="10"/>
      <c r="I835" s="10"/>
      <c r="J835" s="10"/>
    </row>
    <row r="836" spans="2:10" ht="15.75" customHeight="1" x14ac:dyDescent="0.3">
      <c r="B836" s="7"/>
      <c r="D836" s="7"/>
      <c r="G836" s="3"/>
      <c r="H836" s="10"/>
      <c r="I836" s="10"/>
      <c r="J836" s="10"/>
    </row>
    <row r="837" spans="2:10" ht="15.75" customHeight="1" x14ac:dyDescent="0.3">
      <c r="B837" s="7"/>
      <c r="D837" s="7"/>
      <c r="G837" s="3"/>
      <c r="H837" s="10"/>
      <c r="I837" s="10"/>
      <c r="J837" s="10"/>
    </row>
    <row r="838" spans="2:10" ht="15.75" customHeight="1" x14ac:dyDescent="0.3">
      <c r="B838" s="7"/>
      <c r="D838" s="7"/>
      <c r="G838" s="3"/>
      <c r="H838" s="10"/>
      <c r="I838" s="10"/>
      <c r="J838" s="10"/>
    </row>
    <row r="839" spans="2:10" ht="15.75" customHeight="1" x14ac:dyDescent="0.3">
      <c r="B839" s="7"/>
      <c r="D839" s="7"/>
      <c r="G839" s="3"/>
      <c r="H839" s="10"/>
      <c r="I839" s="10"/>
      <c r="J839" s="10"/>
    </row>
    <row r="840" spans="2:10" ht="15.75" customHeight="1" x14ac:dyDescent="0.3">
      <c r="B840" s="7"/>
      <c r="D840" s="7"/>
      <c r="G840" s="3"/>
      <c r="H840" s="10"/>
      <c r="I840" s="10"/>
      <c r="J840" s="10"/>
    </row>
    <row r="841" spans="2:10" ht="15.75" customHeight="1" x14ac:dyDescent="0.3">
      <c r="B841" s="7"/>
      <c r="D841" s="7"/>
      <c r="G841" s="3"/>
      <c r="H841" s="10"/>
      <c r="I841" s="10"/>
      <c r="J841" s="10"/>
    </row>
    <row r="842" spans="2:10" ht="15.75" customHeight="1" x14ac:dyDescent="0.3">
      <c r="B842" s="7"/>
      <c r="D842" s="7"/>
      <c r="G842" s="3"/>
      <c r="H842" s="10"/>
      <c r="I842" s="10"/>
      <c r="J842" s="10"/>
    </row>
    <row r="843" spans="2:10" ht="15.75" customHeight="1" x14ac:dyDescent="0.3">
      <c r="B843" s="7"/>
      <c r="D843" s="7"/>
      <c r="G843" s="3"/>
      <c r="H843" s="10"/>
      <c r="I843" s="10"/>
      <c r="J843" s="10"/>
    </row>
    <row r="844" spans="2:10" ht="15.75" customHeight="1" x14ac:dyDescent="0.3">
      <c r="B844" s="7"/>
      <c r="D844" s="7"/>
      <c r="G844" s="3"/>
      <c r="H844" s="10"/>
      <c r="I844" s="10"/>
      <c r="J844" s="10"/>
    </row>
    <row r="845" spans="2:10" ht="15.75" customHeight="1" x14ac:dyDescent="0.3">
      <c r="B845" s="7"/>
      <c r="D845" s="7"/>
      <c r="G845" s="3"/>
      <c r="H845" s="10"/>
      <c r="I845" s="10"/>
      <c r="J845" s="10"/>
    </row>
    <row r="846" spans="2:10" ht="15.75" customHeight="1" x14ac:dyDescent="0.3">
      <c r="B846" s="7"/>
      <c r="D846" s="7"/>
      <c r="G846" s="3"/>
      <c r="H846" s="10"/>
      <c r="I846" s="10"/>
      <c r="J846" s="10"/>
    </row>
    <row r="847" spans="2:10" ht="15.75" customHeight="1" x14ac:dyDescent="0.3">
      <c r="B847" s="7"/>
      <c r="D847" s="7"/>
      <c r="G847" s="3"/>
      <c r="H847" s="10"/>
      <c r="I847" s="10"/>
      <c r="J847" s="10"/>
    </row>
    <row r="848" spans="2:10" ht="15.75" customHeight="1" x14ac:dyDescent="0.3">
      <c r="B848" s="7"/>
      <c r="D848" s="7"/>
      <c r="G848" s="3"/>
      <c r="H848" s="10"/>
      <c r="I848" s="10"/>
      <c r="J848" s="10"/>
    </row>
    <row r="849" spans="2:10" ht="15.75" customHeight="1" x14ac:dyDescent="0.3">
      <c r="B849" s="7"/>
      <c r="D849" s="7"/>
      <c r="G849" s="3"/>
      <c r="H849" s="10"/>
      <c r="I849" s="10"/>
      <c r="J849" s="10"/>
    </row>
    <row r="850" spans="2:10" ht="15.75" customHeight="1" x14ac:dyDescent="0.3">
      <c r="B850" s="7"/>
      <c r="D850" s="7"/>
      <c r="G850" s="3"/>
      <c r="H850" s="10"/>
      <c r="I850" s="10"/>
      <c r="J850" s="10"/>
    </row>
    <row r="851" spans="2:10" ht="15.75" customHeight="1" x14ac:dyDescent="0.3">
      <c r="B851" s="7"/>
      <c r="D851" s="7"/>
      <c r="G851" s="3"/>
      <c r="H851" s="10"/>
      <c r="I851" s="10"/>
      <c r="J851" s="10"/>
    </row>
    <row r="852" spans="2:10" ht="15.75" customHeight="1" x14ac:dyDescent="0.3">
      <c r="B852" s="7"/>
      <c r="D852" s="7"/>
      <c r="G852" s="3"/>
      <c r="H852" s="10"/>
      <c r="I852" s="10"/>
      <c r="J852" s="10"/>
    </row>
    <row r="853" spans="2:10" ht="15.75" customHeight="1" x14ac:dyDescent="0.3">
      <c r="B853" s="7"/>
      <c r="D853" s="7"/>
      <c r="G853" s="3"/>
      <c r="H853" s="10"/>
      <c r="I853" s="10"/>
      <c r="J853" s="10"/>
    </row>
    <row r="854" spans="2:10" ht="15.75" customHeight="1" x14ac:dyDescent="0.3">
      <c r="B854" s="7"/>
      <c r="D854" s="7"/>
      <c r="G854" s="3"/>
      <c r="H854" s="10"/>
      <c r="I854" s="10"/>
      <c r="J854" s="10"/>
    </row>
    <row r="855" spans="2:10" ht="15.75" customHeight="1" x14ac:dyDescent="0.3">
      <c r="B855" s="7"/>
      <c r="D855" s="7"/>
      <c r="G855" s="3"/>
      <c r="H855" s="10"/>
      <c r="I855" s="10"/>
      <c r="J855" s="10"/>
    </row>
    <row r="856" spans="2:10" ht="15.75" customHeight="1" x14ac:dyDescent="0.3">
      <c r="B856" s="7"/>
      <c r="D856" s="7"/>
      <c r="G856" s="3"/>
      <c r="H856" s="10"/>
      <c r="I856" s="10"/>
      <c r="J856" s="10"/>
    </row>
    <row r="857" spans="2:10" ht="15.75" customHeight="1" x14ac:dyDescent="0.3">
      <c r="B857" s="7"/>
      <c r="D857" s="7"/>
      <c r="G857" s="3"/>
      <c r="H857" s="10"/>
      <c r="I857" s="10"/>
      <c r="J857" s="10"/>
    </row>
    <row r="858" spans="2:10" ht="15.75" customHeight="1" x14ac:dyDescent="0.3">
      <c r="B858" s="7"/>
      <c r="D858" s="7"/>
      <c r="G858" s="3"/>
      <c r="H858" s="10"/>
      <c r="I858" s="10"/>
      <c r="J858" s="10"/>
    </row>
    <row r="859" spans="2:10" ht="15.75" customHeight="1" x14ac:dyDescent="0.3">
      <c r="B859" s="7"/>
      <c r="D859" s="7"/>
      <c r="G859" s="3"/>
      <c r="H859" s="10"/>
      <c r="I859" s="10"/>
      <c r="J859" s="10"/>
    </row>
    <row r="860" spans="2:10" ht="15.75" customHeight="1" x14ac:dyDescent="0.3">
      <c r="B860" s="7"/>
      <c r="D860" s="7"/>
      <c r="G860" s="3"/>
      <c r="H860" s="10"/>
      <c r="I860" s="10"/>
      <c r="J860" s="10"/>
    </row>
    <row r="861" spans="2:10" ht="15.75" customHeight="1" x14ac:dyDescent="0.3">
      <c r="B861" s="7"/>
      <c r="D861" s="7"/>
      <c r="G861" s="3"/>
      <c r="H861" s="10"/>
      <c r="I861" s="10"/>
      <c r="J861" s="10"/>
    </row>
    <row r="862" spans="2:10" ht="15.75" customHeight="1" x14ac:dyDescent="0.3">
      <c r="B862" s="7"/>
      <c r="D862" s="7"/>
      <c r="G862" s="3"/>
      <c r="H862" s="10"/>
      <c r="I862" s="10"/>
      <c r="J862" s="10"/>
    </row>
    <row r="863" spans="2:10" ht="15.75" customHeight="1" x14ac:dyDescent="0.3">
      <c r="B863" s="7"/>
      <c r="D863" s="7"/>
      <c r="G863" s="3"/>
      <c r="H863" s="10"/>
      <c r="I863" s="10"/>
      <c r="J863" s="10"/>
    </row>
    <row r="864" spans="2:10" ht="15.75" customHeight="1" x14ac:dyDescent="0.3">
      <c r="B864" s="7"/>
      <c r="D864" s="7"/>
      <c r="G864" s="3"/>
      <c r="H864" s="10"/>
      <c r="I864" s="10"/>
      <c r="J864" s="10"/>
    </row>
    <row r="865" spans="2:10" ht="15.75" customHeight="1" x14ac:dyDescent="0.3">
      <c r="B865" s="7"/>
      <c r="D865" s="7"/>
      <c r="G865" s="3"/>
      <c r="H865" s="10"/>
      <c r="I865" s="10"/>
      <c r="J865" s="10"/>
    </row>
    <row r="866" spans="2:10" ht="15.75" customHeight="1" x14ac:dyDescent="0.3">
      <c r="B866" s="7"/>
      <c r="D866" s="7"/>
      <c r="G866" s="3"/>
      <c r="H866" s="10"/>
      <c r="I866" s="10"/>
      <c r="J866" s="10"/>
    </row>
    <row r="867" spans="2:10" ht="15.75" customHeight="1" x14ac:dyDescent="0.3">
      <c r="B867" s="7"/>
      <c r="D867" s="7"/>
      <c r="G867" s="3"/>
      <c r="H867" s="10"/>
      <c r="I867" s="10"/>
      <c r="J867" s="10"/>
    </row>
    <row r="868" spans="2:10" ht="15.75" customHeight="1" x14ac:dyDescent="0.3">
      <c r="B868" s="7"/>
      <c r="D868" s="7"/>
      <c r="G868" s="3"/>
      <c r="H868" s="10"/>
      <c r="I868" s="10"/>
      <c r="J868" s="10"/>
    </row>
    <row r="869" spans="2:10" ht="15.75" customHeight="1" x14ac:dyDescent="0.3">
      <c r="B869" s="7"/>
      <c r="D869" s="7"/>
      <c r="G869" s="3"/>
      <c r="H869" s="10"/>
      <c r="I869" s="10"/>
      <c r="J869" s="10"/>
    </row>
    <row r="870" spans="2:10" ht="15.75" customHeight="1" x14ac:dyDescent="0.3">
      <c r="B870" s="7"/>
      <c r="D870" s="7"/>
      <c r="G870" s="3"/>
      <c r="H870" s="10"/>
      <c r="I870" s="10"/>
      <c r="J870" s="10"/>
    </row>
    <row r="871" spans="2:10" ht="15.75" customHeight="1" x14ac:dyDescent="0.3">
      <c r="B871" s="7"/>
      <c r="D871" s="7"/>
      <c r="G871" s="3"/>
      <c r="H871" s="10"/>
      <c r="I871" s="10"/>
      <c r="J871" s="10"/>
    </row>
    <row r="872" spans="2:10" ht="15.75" customHeight="1" x14ac:dyDescent="0.3">
      <c r="B872" s="7"/>
      <c r="D872" s="7"/>
      <c r="G872" s="3"/>
      <c r="H872" s="10"/>
      <c r="I872" s="10"/>
      <c r="J872" s="10"/>
    </row>
    <row r="873" spans="2:10" ht="15.75" customHeight="1" x14ac:dyDescent="0.3">
      <c r="B873" s="7"/>
      <c r="D873" s="7"/>
      <c r="G873" s="3"/>
      <c r="H873" s="10"/>
      <c r="I873" s="10"/>
      <c r="J873" s="10"/>
    </row>
    <row r="874" spans="2:10" ht="15.75" customHeight="1" x14ac:dyDescent="0.3">
      <c r="B874" s="7"/>
      <c r="D874" s="7"/>
      <c r="G874" s="3"/>
      <c r="H874" s="10"/>
      <c r="I874" s="10"/>
      <c r="J874" s="10"/>
    </row>
    <row r="875" spans="2:10" ht="15.75" customHeight="1" x14ac:dyDescent="0.3">
      <c r="B875" s="7"/>
      <c r="D875" s="7"/>
      <c r="G875" s="3"/>
      <c r="H875" s="10"/>
      <c r="I875" s="10"/>
      <c r="J875" s="10"/>
    </row>
    <row r="876" spans="2:10" ht="15.75" customHeight="1" x14ac:dyDescent="0.3">
      <c r="B876" s="7"/>
      <c r="D876" s="7"/>
      <c r="G876" s="3"/>
      <c r="H876" s="10"/>
      <c r="I876" s="10"/>
      <c r="J876" s="10"/>
    </row>
    <row r="877" spans="2:10" ht="15.75" customHeight="1" x14ac:dyDescent="0.3">
      <c r="B877" s="7"/>
      <c r="D877" s="7"/>
      <c r="G877" s="3"/>
      <c r="H877" s="10"/>
      <c r="I877" s="10"/>
      <c r="J877" s="10"/>
    </row>
    <row r="878" spans="2:10" ht="15.75" customHeight="1" x14ac:dyDescent="0.3">
      <c r="B878" s="7"/>
      <c r="D878" s="7"/>
      <c r="G878" s="3"/>
      <c r="H878" s="10"/>
      <c r="I878" s="10"/>
      <c r="J878" s="10"/>
    </row>
    <row r="879" spans="2:10" ht="15.75" customHeight="1" x14ac:dyDescent="0.3">
      <c r="B879" s="7"/>
      <c r="D879" s="7"/>
      <c r="G879" s="3"/>
      <c r="H879" s="10"/>
      <c r="I879" s="10"/>
      <c r="J879" s="10"/>
    </row>
    <row r="880" spans="2:10" ht="15.75" customHeight="1" x14ac:dyDescent="0.3">
      <c r="B880" s="7"/>
      <c r="D880" s="7"/>
      <c r="G880" s="3"/>
      <c r="H880" s="10"/>
      <c r="I880" s="10"/>
      <c r="J880" s="10"/>
    </row>
    <row r="881" spans="2:10" ht="15.75" customHeight="1" x14ac:dyDescent="0.3">
      <c r="B881" s="7"/>
      <c r="D881" s="7"/>
      <c r="G881" s="3"/>
      <c r="H881" s="10"/>
      <c r="I881" s="10"/>
      <c r="J881" s="10"/>
    </row>
    <row r="882" spans="2:10" ht="15.75" customHeight="1" x14ac:dyDescent="0.3">
      <c r="B882" s="7"/>
      <c r="D882" s="7"/>
      <c r="G882" s="3"/>
      <c r="H882" s="10"/>
      <c r="I882" s="10"/>
      <c r="J882" s="10"/>
    </row>
    <row r="883" spans="2:10" ht="15.75" customHeight="1" x14ac:dyDescent="0.3">
      <c r="B883" s="7"/>
      <c r="D883" s="7"/>
      <c r="G883" s="3"/>
      <c r="H883" s="10"/>
      <c r="I883" s="10"/>
      <c r="J883" s="10"/>
    </row>
    <row r="884" spans="2:10" ht="15.75" customHeight="1" x14ac:dyDescent="0.3">
      <c r="B884" s="7"/>
      <c r="D884" s="7"/>
      <c r="G884" s="3"/>
      <c r="H884" s="10"/>
      <c r="I884" s="10"/>
      <c r="J884" s="10"/>
    </row>
    <row r="885" spans="2:10" ht="15.75" customHeight="1" x14ac:dyDescent="0.3">
      <c r="B885" s="7"/>
      <c r="D885" s="7"/>
      <c r="G885" s="3"/>
      <c r="H885" s="10"/>
      <c r="I885" s="10"/>
      <c r="J885" s="10"/>
    </row>
    <row r="886" spans="2:10" ht="15.75" customHeight="1" x14ac:dyDescent="0.3">
      <c r="B886" s="7"/>
      <c r="D886" s="7"/>
      <c r="G886" s="3"/>
      <c r="H886" s="10"/>
      <c r="I886" s="10"/>
      <c r="J886" s="10"/>
    </row>
    <row r="887" spans="2:10" ht="15.75" customHeight="1" x14ac:dyDescent="0.3">
      <c r="B887" s="7"/>
      <c r="D887" s="7"/>
      <c r="G887" s="3"/>
      <c r="H887" s="10"/>
      <c r="I887" s="10"/>
      <c r="J887" s="10"/>
    </row>
    <row r="888" spans="2:10" ht="15.75" customHeight="1" x14ac:dyDescent="0.3">
      <c r="B888" s="7"/>
      <c r="D888" s="7"/>
      <c r="G888" s="3"/>
      <c r="H888" s="10"/>
      <c r="I888" s="10"/>
      <c r="J888" s="10"/>
    </row>
    <row r="889" spans="2:10" ht="15.75" customHeight="1" x14ac:dyDescent="0.3">
      <c r="B889" s="7"/>
      <c r="D889" s="7"/>
      <c r="G889" s="3"/>
      <c r="H889" s="10"/>
      <c r="I889" s="10"/>
      <c r="J889" s="10"/>
    </row>
    <row r="890" spans="2:10" ht="15.75" customHeight="1" x14ac:dyDescent="0.3">
      <c r="B890" s="7"/>
      <c r="D890" s="7"/>
      <c r="G890" s="3"/>
      <c r="H890" s="10"/>
      <c r="I890" s="10"/>
      <c r="J890" s="10"/>
    </row>
    <row r="891" spans="2:10" ht="15.75" customHeight="1" x14ac:dyDescent="0.3">
      <c r="B891" s="7"/>
      <c r="D891" s="7"/>
      <c r="G891" s="3"/>
      <c r="H891" s="10"/>
      <c r="I891" s="10"/>
      <c r="J891" s="10"/>
    </row>
    <row r="892" spans="2:10" ht="15.75" customHeight="1" x14ac:dyDescent="0.3">
      <c r="B892" s="7"/>
      <c r="D892" s="7"/>
      <c r="G892" s="3"/>
      <c r="H892" s="10"/>
      <c r="I892" s="10"/>
      <c r="J892" s="10"/>
    </row>
    <row r="893" spans="2:10" ht="15.75" customHeight="1" x14ac:dyDescent="0.3">
      <c r="B893" s="7"/>
      <c r="D893" s="7"/>
      <c r="G893" s="3"/>
      <c r="H893" s="10"/>
      <c r="I893" s="10"/>
      <c r="J893" s="10"/>
    </row>
    <row r="894" spans="2:10" ht="15.75" customHeight="1" x14ac:dyDescent="0.3">
      <c r="B894" s="7"/>
      <c r="D894" s="7"/>
      <c r="G894" s="3"/>
      <c r="H894" s="10"/>
      <c r="I894" s="10"/>
      <c r="J894" s="10"/>
    </row>
    <row r="895" spans="2:10" ht="15.75" customHeight="1" x14ac:dyDescent="0.3">
      <c r="B895" s="7"/>
      <c r="D895" s="7"/>
      <c r="G895" s="3"/>
      <c r="H895" s="10"/>
      <c r="I895" s="10"/>
      <c r="J895" s="10"/>
    </row>
    <row r="896" spans="2:10" ht="15.75" customHeight="1" x14ac:dyDescent="0.3">
      <c r="B896" s="7"/>
      <c r="D896" s="7"/>
      <c r="G896" s="3"/>
      <c r="H896" s="10"/>
      <c r="I896" s="10"/>
      <c r="J896" s="10"/>
    </row>
    <row r="897" spans="2:10" ht="15.75" customHeight="1" x14ac:dyDescent="0.3">
      <c r="B897" s="7"/>
      <c r="D897" s="7"/>
      <c r="G897" s="3"/>
      <c r="H897" s="10"/>
      <c r="I897" s="10"/>
      <c r="J897" s="10"/>
    </row>
    <row r="898" spans="2:10" ht="15.75" customHeight="1" x14ac:dyDescent="0.3">
      <c r="B898" s="7"/>
      <c r="D898" s="7"/>
      <c r="G898" s="3"/>
      <c r="H898" s="10"/>
      <c r="I898" s="10"/>
      <c r="J898" s="10"/>
    </row>
    <row r="899" spans="2:10" ht="15.75" customHeight="1" x14ac:dyDescent="0.3">
      <c r="B899" s="7"/>
      <c r="D899" s="7"/>
      <c r="G899" s="3"/>
      <c r="H899" s="10"/>
      <c r="I899" s="10"/>
      <c r="J899" s="10"/>
    </row>
    <row r="900" spans="2:10" ht="15.75" customHeight="1" x14ac:dyDescent="0.3">
      <c r="B900" s="7"/>
      <c r="D900" s="7"/>
      <c r="G900" s="3"/>
      <c r="H900" s="10"/>
      <c r="I900" s="10"/>
      <c r="J900" s="10"/>
    </row>
    <row r="901" spans="2:10" ht="15.75" customHeight="1" x14ac:dyDescent="0.3">
      <c r="B901" s="7"/>
      <c r="D901" s="7"/>
      <c r="G901" s="3"/>
      <c r="H901" s="10"/>
      <c r="I901" s="10"/>
      <c r="J901" s="10"/>
    </row>
    <row r="902" spans="2:10" ht="15.75" customHeight="1" x14ac:dyDescent="0.3">
      <c r="B902" s="7"/>
      <c r="D902" s="7"/>
      <c r="G902" s="3"/>
      <c r="H902" s="10"/>
      <c r="I902" s="10"/>
      <c r="J902" s="10"/>
    </row>
    <row r="903" spans="2:10" ht="15.75" customHeight="1" x14ac:dyDescent="0.3">
      <c r="B903" s="7"/>
      <c r="D903" s="7"/>
      <c r="G903" s="3"/>
      <c r="H903" s="10"/>
      <c r="I903" s="10"/>
      <c r="J903" s="10"/>
    </row>
    <row r="904" spans="2:10" ht="15.75" customHeight="1" x14ac:dyDescent="0.3">
      <c r="B904" s="7"/>
      <c r="D904" s="7"/>
      <c r="G904" s="3"/>
      <c r="H904" s="10"/>
      <c r="I904" s="10"/>
      <c r="J904" s="10"/>
    </row>
    <row r="905" spans="2:10" ht="15.75" customHeight="1" x14ac:dyDescent="0.3">
      <c r="B905" s="7"/>
      <c r="D905" s="7"/>
      <c r="G905" s="3"/>
      <c r="H905" s="10"/>
      <c r="I905" s="10"/>
      <c r="J905" s="10"/>
    </row>
    <row r="906" spans="2:10" ht="15.75" customHeight="1" x14ac:dyDescent="0.3">
      <c r="B906" s="7"/>
      <c r="D906" s="7"/>
      <c r="G906" s="3"/>
      <c r="H906" s="10"/>
      <c r="I906" s="10"/>
      <c r="J906" s="10"/>
    </row>
    <row r="907" spans="2:10" ht="15.75" customHeight="1" x14ac:dyDescent="0.3">
      <c r="B907" s="7"/>
      <c r="D907" s="7"/>
      <c r="G907" s="3"/>
      <c r="H907" s="10"/>
      <c r="I907" s="10"/>
      <c r="J907" s="10"/>
    </row>
    <row r="908" spans="2:10" ht="15.75" customHeight="1" x14ac:dyDescent="0.3">
      <c r="B908" s="7"/>
      <c r="D908" s="7"/>
      <c r="G908" s="3"/>
      <c r="H908" s="10"/>
      <c r="I908" s="10"/>
      <c r="J908" s="10"/>
    </row>
    <row r="909" spans="2:10" ht="15.75" customHeight="1" x14ac:dyDescent="0.3">
      <c r="B909" s="7"/>
      <c r="D909" s="7"/>
      <c r="G909" s="3"/>
      <c r="H909" s="10"/>
      <c r="I909" s="10"/>
      <c r="J909" s="10"/>
    </row>
    <row r="910" spans="2:10" ht="15.75" customHeight="1" x14ac:dyDescent="0.3">
      <c r="B910" s="7"/>
      <c r="D910" s="7"/>
      <c r="G910" s="3"/>
      <c r="H910" s="10"/>
      <c r="I910" s="10"/>
      <c r="J910" s="10"/>
    </row>
    <row r="911" spans="2:10" ht="15.75" customHeight="1" x14ac:dyDescent="0.3">
      <c r="B911" s="7"/>
      <c r="D911" s="7"/>
      <c r="G911" s="3"/>
      <c r="H911" s="10"/>
      <c r="I911" s="10"/>
      <c r="J911" s="10"/>
    </row>
    <row r="912" spans="2:10" ht="15.75" customHeight="1" x14ac:dyDescent="0.3">
      <c r="B912" s="7"/>
      <c r="D912" s="7"/>
      <c r="G912" s="3"/>
      <c r="H912" s="10"/>
      <c r="I912" s="10"/>
      <c r="J912" s="10"/>
    </row>
    <row r="913" spans="2:10" ht="15.75" customHeight="1" x14ac:dyDescent="0.3">
      <c r="B913" s="7"/>
      <c r="D913" s="7"/>
      <c r="G913" s="3"/>
      <c r="H913" s="10"/>
      <c r="I913" s="10"/>
      <c r="J913" s="10"/>
    </row>
    <row r="914" spans="2:10" ht="15.75" customHeight="1" x14ac:dyDescent="0.3">
      <c r="B914" s="7"/>
      <c r="D914" s="7"/>
      <c r="G914" s="3"/>
      <c r="H914" s="10"/>
      <c r="I914" s="10"/>
      <c r="J914" s="10"/>
    </row>
    <row r="915" spans="2:10" ht="15.75" customHeight="1" x14ac:dyDescent="0.3">
      <c r="B915" s="7"/>
      <c r="D915" s="7"/>
      <c r="G915" s="3"/>
      <c r="H915" s="10"/>
      <c r="I915" s="10"/>
      <c r="J915" s="10"/>
    </row>
    <row r="916" spans="2:10" ht="15.75" customHeight="1" x14ac:dyDescent="0.3">
      <c r="B916" s="7"/>
      <c r="D916" s="7"/>
      <c r="G916" s="3"/>
      <c r="H916" s="10"/>
      <c r="I916" s="10"/>
      <c r="J916" s="10"/>
    </row>
    <row r="917" spans="2:10" ht="15.75" customHeight="1" x14ac:dyDescent="0.3">
      <c r="B917" s="7"/>
      <c r="D917" s="7"/>
      <c r="G917" s="3"/>
      <c r="H917" s="10"/>
      <c r="I917" s="10"/>
      <c r="J917" s="10"/>
    </row>
    <row r="918" spans="2:10" ht="15.75" customHeight="1" x14ac:dyDescent="0.3">
      <c r="B918" s="7"/>
      <c r="D918" s="7"/>
      <c r="G918" s="3"/>
      <c r="H918" s="10"/>
      <c r="I918" s="10"/>
      <c r="J918" s="10"/>
    </row>
    <row r="919" spans="2:10" ht="15.75" customHeight="1" x14ac:dyDescent="0.3">
      <c r="B919" s="7"/>
      <c r="D919" s="7"/>
      <c r="G919" s="3"/>
      <c r="H919" s="10"/>
      <c r="I919" s="10"/>
      <c r="J919" s="10"/>
    </row>
    <row r="920" spans="2:10" ht="15.75" customHeight="1" x14ac:dyDescent="0.3">
      <c r="B920" s="7"/>
      <c r="D920" s="7"/>
      <c r="G920" s="3"/>
      <c r="H920" s="10"/>
      <c r="I920" s="10"/>
      <c r="J920" s="10"/>
    </row>
    <row r="921" spans="2:10" ht="15.75" customHeight="1" x14ac:dyDescent="0.3">
      <c r="B921" s="7"/>
      <c r="D921" s="7"/>
      <c r="G921" s="3"/>
      <c r="H921" s="10"/>
      <c r="I921" s="10"/>
      <c r="J921" s="10"/>
    </row>
    <row r="922" spans="2:10" ht="15.75" customHeight="1" x14ac:dyDescent="0.3">
      <c r="B922" s="7"/>
      <c r="D922" s="7"/>
      <c r="G922" s="3"/>
      <c r="H922" s="10"/>
      <c r="I922" s="10"/>
      <c r="J922" s="10"/>
    </row>
    <row r="923" spans="2:10" ht="15.75" customHeight="1" x14ac:dyDescent="0.3">
      <c r="B923" s="7"/>
      <c r="D923" s="7"/>
      <c r="G923" s="3"/>
      <c r="H923" s="10"/>
      <c r="I923" s="10"/>
      <c r="J923" s="10"/>
    </row>
    <row r="924" spans="2:10" ht="15.75" customHeight="1" x14ac:dyDescent="0.3">
      <c r="B924" s="7"/>
      <c r="D924" s="7"/>
      <c r="G924" s="3"/>
      <c r="H924" s="10"/>
      <c r="I924" s="10"/>
      <c r="J924" s="10"/>
    </row>
    <row r="925" spans="2:10" ht="15.75" customHeight="1" x14ac:dyDescent="0.3">
      <c r="B925" s="7"/>
      <c r="D925" s="7"/>
      <c r="G925" s="3"/>
      <c r="H925" s="10"/>
      <c r="I925" s="10"/>
      <c r="J925" s="10"/>
    </row>
    <row r="926" spans="2:10" ht="15.75" customHeight="1" x14ac:dyDescent="0.3">
      <c r="B926" s="7"/>
      <c r="D926" s="7"/>
      <c r="G926" s="3"/>
      <c r="H926" s="10"/>
      <c r="I926" s="10"/>
      <c r="J926" s="10"/>
    </row>
    <row r="927" spans="2:10" ht="15.75" customHeight="1" x14ac:dyDescent="0.3">
      <c r="B927" s="7"/>
      <c r="D927" s="7"/>
      <c r="G927" s="3"/>
      <c r="H927" s="10"/>
      <c r="I927" s="10"/>
      <c r="J927" s="10"/>
    </row>
    <row r="928" spans="2:10" ht="15.75" customHeight="1" x14ac:dyDescent="0.3">
      <c r="B928" s="7"/>
      <c r="D928" s="7"/>
      <c r="G928" s="3"/>
      <c r="H928" s="10"/>
      <c r="I928" s="10"/>
      <c r="J928" s="10"/>
    </row>
    <row r="929" spans="2:10" ht="15.75" customHeight="1" x14ac:dyDescent="0.3">
      <c r="B929" s="7"/>
      <c r="D929" s="7"/>
      <c r="G929" s="3"/>
      <c r="H929" s="10"/>
      <c r="I929" s="10"/>
      <c r="J929" s="10"/>
    </row>
    <row r="930" spans="2:10" ht="15.75" customHeight="1" x14ac:dyDescent="0.3">
      <c r="B930" s="7"/>
      <c r="D930" s="7"/>
      <c r="G930" s="3"/>
      <c r="H930" s="10"/>
      <c r="I930" s="10"/>
      <c r="J930" s="10"/>
    </row>
    <row r="931" spans="2:10" ht="15.75" customHeight="1" x14ac:dyDescent="0.3">
      <c r="B931" s="7"/>
      <c r="D931" s="7"/>
      <c r="G931" s="3"/>
      <c r="H931" s="10"/>
      <c r="I931" s="10"/>
      <c r="J931" s="10"/>
    </row>
    <row r="932" spans="2:10" ht="15.75" customHeight="1" x14ac:dyDescent="0.3">
      <c r="B932" s="7"/>
      <c r="D932" s="7"/>
      <c r="G932" s="3"/>
      <c r="H932" s="10"/>
      <c r="I932" s="10"/>
      <c r="J932" s="10"/>
    </row>
    <row r="933" spans="2:10" ht="15.75" customHeight="1" x14ac:dyDescent="0.3">
      <c r="B933" s="7"/>
      <c r="D933" s="7"/>
      <c r="G933" s="3"/>
      <c r="H933" s="10"/>
      <c r="I933" s="10"/>
      <c r="J933" s="10"/>
    </row>
    <row r="934" spans="2:10" ht="15.75" customHeight="1" x14ac:dyDescent="0.3">
      <c r="B934" s="7"/>
      <c r="D934" s="7"/>
      <c r="G934" s="3"/>
      <c r="H934" s="10"/>
      <c r="I934" s="10"/>
      <c r="J934" s="10"/>
    </row>
    <row r="935" spans="2:10" ht="15.75" customHeight="1" x14ac:dyDescent="0.3">
      <c r="B935" s="7"/>
      <c r="D935" s="7"/>
      <c r="G935" s="3"/>
      <c r="H935" s="10"/>
      <c r="I935" s="10"/>
      <c r="J935" s="10"/>
    </row>
    <row r="936" spans="2:10" ht="15.75" customHeight="1" x14ac:dyDescent="0.3">
      <c r="B936" s="7"/>
      <c r="D936" s="7"/>
      <c r="G936" s="3"/>
      <c r="H936" s="10"/>
      <c r="I936" s="10"/>
      <c r="J936" s="10"/>
    </row>
    <row r="937" spans="2:10" ht="15.75" customHeight="1" x14ac:dyDescent="0.3">
      <c r="B937" s="7"/>
      <c r="D937" s="7"/>
      <c r="G937" s="3"/>
      <c r="H937" s="10"/>
      <c r="I937" s="10"/>
      <c r="J937" s="10"/>
    </row>
    <row r="938" spans="2:10" ht="15.75" customHeight="1" x14ac:dyDescent="0.3">
      <c r="B938" s="7"/>
      <c r="D938" s="7"/>
      <c r="G938" s="3"/>
      <c r="H938" s="10"/>
      <c r="I938" s="10"/>
      <c r="J938" s="10"/>
    </row>
    <row r="939" spans="2:10" ht="15.75" customHeight="1" x14ac:dyDescent="0.3">
      <c r="B939" s="7"/>
      <c r="D939" s="7"/>
      <c r="G939" s="3"/>
      <c r="H939" s="10"/>
      <c r="I939" s="10"/>
      <c r="J939" s="10"/>
    </row>
    <row r="940" spans="2:10" ht="15.75" customHeight="1" x14ac:dyDescent="0.3">
      <c r="B940" s="7"/>
      <c r="D940" s="7"/>
      <c r="G940" s="3"/>
      <c r="H940" s="10"/>
      <c r="I940" s="10"/>
      <c r="J940" s="10"/>
    </row>
    <row r="941" spans="2:10" ht="15.75" customHeight="1" x14ac:dyDescent="0.3">
      <c r="B941" s="7"/>
      <c r="D941" s="7"/>
      <c r="G941" s="3"/>
      <c r="H941" s="10"/>
      <c r="I941" s="10"/>
      <c r="J941" s="10"/>
    </row>
    <row r="942" spans="2:10" ht="15.75" customHeight="1" x14ac:dyDescent="0.3">
      <c r="B942" s="7"/>
      <c r="D942" s="7"/>
      <c r="G942" s="3"/>
      <c r="H942" s="10"/>
      <c r="I942" s="10"/>
      <c r="J942" s="10"/>
    </row>
    <row r="943" spans="2:10" ht="15.75" customHeight="1" x14ac:dyDescent="0.3">
      <c r="B943" s="7"/>
      <c r="D943" s="7"/>
      <c r="G943" s="3"/>
      <c r="H943" s="10"/>
      <c r="I943" s="10"/>
      <c r="J943" s="10"/>
    </row>
    <row r="944" spans="2:10" ht="15.75" customHeight="1" x14ac:dyDescent="0.3">
      <c r="B944" s="7"/>
      <c r="D944" s="7"/>
      <c r="G944" s="3"/>
      <c r="H944" s="10"/>
      <c r="I944" s="10"/>
      <c r="J944" s="10"/>
    </row>
    <row r="945" spans="2:10" ht="15.75" customHeight="1" x14ac:dyDescent="0.3">
      <c r="B945" s="7"/>
      <c r="D945" s="7"/>
      <c r="G945" s="3"/>
      <c r="H945" s="10"/>
      <c r="I945" s="10"/>
      <c r="J945" s="10"/>
    </row>
    <row r="946" spans="2:10" ht="15.75" customHeight="1" x14ac:dyDescent="0.3">
      <c r="B946" s="7"/>
      <c r="D946" s="7"/>
      <c r="G946" s="3"/>
      <c r="H946" s="10"/>
      <c r="I946" s="10"/>
      <c r="J946" s="10"/>
    </row>
    <row r="947" spans="2:10" ht="15.75" customHeight="1" x14ac:dyDescent="0.3">
      <c r="B947" s="7"/>
      <c r="D947" s="7"/>
      <c r="G947" s="3"/>
      <c r="H947" s="10"/>
      <c r="I947" s="10"/>
      <c r="J947" s="10"/>
    </row>
    <row r="948" spans="2:10" ht="15.75" customHeight="1" x14ac:dyDescent="0.3">
      <c r="B948" s="7"/>
      <c r="D948" s="7"/>
      <c r="G948" s="3"/>
      <c r="H948" s="10"/>
      <c r="I948" s="10"/>
      <c r="J948" s="10"/>
    </row>
    <row r="949" spans="2:10" ht="15.75" customHeight="1" x14ac:dyDescent="0.3">
      <c r="B949" s="7"/>
      <c r="D949" s="7"/>
      <c r="G949" s="3"/>
      <c r="H949" s="10"/>
      <c r="I949" s="10"/>
      <c r="J949" s="10"/>
    </row>
    <row r="950" spans="2:10" ht="15.75" customHeight="1" x14ac:dyDescent="0.3">
      <c r="B950" s="7"/>
      <c r="D950" s="7"/>
      <c r="G950" s="3"/>
      <c r="H950" s="10"/>
      <c r="I950" s="10"/>
      <c r="J950" s="10"/>
    </row>
    <row r="951" spans="2:10" ht="15.75" customHeight="1" x14ac:dyDescent="0.3">
      <c r="B951" s="7"/>
      <c r="D951" s="7"/>
      <c r="G951" s="3"/>
      <c r="H951" s="10"/>
      <c r="I951" s="10"/>
      <c r="J951" s="10"/>
    </row>
    <row r="952" spans="2:10" ht="15.75" customHeight="1" x14ac:dyDescent="0.3">
      <c r="B952" s="7"/>
      <c r="D952" s="7"/>
      <c r="G952" s="3"/>
      <c r="H952" s="10"/>
      <c r="I952" s="10"/>
      <c r="J952" s="10"/>
    </row>
    <row r="953" spans="2:10" ht="15.75" customHeight="1" x14ac:dyDescent="0.3">
      <c r="B953" s="7"/>
      <c r="D953" s="7"/>
      <c r="G953" s="3"/>
      <c r="H953" s="10"/>
      <c r="I953" s="10"/>
      <c r="J953" s="10"/>
    </row>
    <row r="954" spans="2:10" ht="15.75" customHeight="1" x14ac:dyDescent="0.3">
      <c r="B954" s="7"/>
      <c r="D954" s="7"/>
      <c r="G954" s="3"/>
      <c r="H954" s="10"/>
      <c r="I954" s="10"/>
      <c r="J954" s="10"/>
    </row>
    <row r="955" spans="2:10" ht="15.75" customHeight="1" x14ac:dyDescent="0.3">
      <c r="B955" s="7"/>
      <c r="D955" s="7"/>
      <c r="G955" s="3"/>
      <c r="H955" s="10"/>
      <c r="I955" s="10"/>
      <c r="J955" s="10"/>
    </row>
    <row r="956" spans="2:10" ht="15.75" customHeight="1" x14ac:dyDescent="0.3">
      <c r="B956" s="7"/>
      <c r="D956" s="7"/>
      <c r="G956" s="3"/>
      <c r="H956" s="10"/>
      <c r="I956" s="10"/>
      <c r="J956" s="10"/>
    </row>
    <row r="957" spans="2:10" ht="15.75" customHeight="1" x14ac:dyDescent="0.3">
      <c r="B957" s="7"/>
      <c r="D957" s="7"/>
      <c r="G957" s="3"/>
      <c r="H957" s="10"/>
      <c r="I957" s="10"/>
      <c r="J957" s="10"/>
    </row>
    <row r="958" spans="2:10" ht="15.75" customHeight="1" x14ac:dyDescent="0.3">
      <c r="B958" s="7"/>
      <c r="D958" s="7"/>
      <c r="G958" s="3"/>
      <c r="H958" s="10"/>
      <c r="I958" s="10"/>
      <c r="J958" s="10"/>
    </row>
    <row r="959" spans="2:10" ht="15.75" customHeight="1" x14ac:dyDescent="0.3">
      <c r="B959" s="7"/>
      <c r="D959" s="7"/>
      <c r="G959" s="3"/>
      <c r="H959" s="10"/>
      <c r="I959" s="10"/>
      <c r="J959" s="10"/>
    </row>
    <row r="960" spans="2:10" ht="15.75" customHeight="1" x14ac:dyDescent="0.3">
      <c r="B960" s="7"/>
      <c r="D960" s="7"/>
      <c r="G960" s="3"/>
      <c r="H960" s="10"/>
      <c r="I960" s="10"/>
      <c r="J960" s="10"/>
    </row>
    <row r="961" spans="2:10" ht="15.75" customHeight="1" x14ac:dyDescent="0.3">
      <c r="B961" s="7"/>
      <c r="D961" s="7"/>
      <c r="G961" s="3"/>
      <c r="H961" s="10"/>
      <c r="I961" s="10"/>
      <c r="J961" s="10"/>
    </row>
    <row r="962" spans="2:10" ht="15.75" customHeight="1" x14ac:dyDescent="0.3">
      <c r="B962" s="7"/>
      <c r="D962" s="7"/>
      <c r="G962" s="3"/>
      <c r="H962" s="10"/>
      <c r="I962" s="10"/>
      <c r="J962" s="10"/>
    </row>
    <row r="963" spans="2:10" ht="15.75" customHeight="1" x14ac:dyDescent="0.3">
      <c r="B963" s="7"/>
      <c r="D963" s="7"/>
      <c r="G963" s="3"/>
      <c r="H963" s="10"/>
      <c r="I963" s="10"/>
      <c r="J963" s="10"/>
    </row>
    <row r="964" spans="2:10" ht="15.75" customHeight="1" x14ac:dyDescent="0.3">
      <c r="B964" s="7"/>
      <c r="D964" s="7"/>
      <c r="G964" s="3"/>
      <c r="H964" s="10"/>
      <c r="I964" s="10"/>
      <c r="J964" s="10"/>
    </row>
    <row r="965" spans="2:10" ht="15.75" customHeight="1" x14ac:dyDescent="0.3">
      <c r="B965" s="7"/>
      <c r="D965" s="7"/>
      <c r="G965" s="3"/>
      <c r="H965" s="10"/>
      <c r="I965" s="10"/>
      <c r="J965" s="10"/>
    </row>
    <row r="966" spans="2:10" ht="15.75" customHeight="1" x14ac:dyDescent="0.3">
      <c r="B966" s="7"/>
      <c r="D966" s="7"/>
      <c r="G966" s="3"/>
      <c r="H966" s="10"/>
      <c r="I966" s="10"/>
      <c r="J966" s="10"/>
    </row>
    <row r="967" spans="2:10" ht="15.75" customHeight="1" x14ac:dyDescent="0.3">
      <c r="B967" s="7"/>
      <c r="D967" s="7"/>
      <c r="G967" s="3"/>
      <c r="H967" s="10"/>
      <c r="I967" s="10"/>
      <c r="J967" s="10"/>
    </row>
    <row r="968" spans="2:10" ht="15.75" customHeight="1" x14ac:dyDescent="0.3">
      <c r="B968" s="7"/>
      <c r="D968" s="7"/>
      <c r="G968" s="3"/>
      <c r="H968" s="10"/>
      <c r="I968" s="10"/>
      <c r="J968" s="10"/>
    </row>
    <row r="969" spans="2:10" ht="15.75" customHeight="1" x14ac:dyDescent="0.3">
      <c r="B969" s="7"/>
      <c r="D969" s="7"/>
      <c r="G969" s="3"/>
      <c r="H969" s="10"/>
      <c r="I969" s="10"/>
      <c r="J969" s="10"/>
    </row>
    <row r="970" spans="2:10" ht="15.75" customHeight="1" x14ac:dyDescent="0.3">
      <c r="B970" s="7"/>
      <c r="D970" s="7"/>
      <c r="G970" s="3"/>
      <c r="H970" s="10"/>
      <c r="I970" s="10"/>
      <c r="J970" s="10"/>
    </row>
    <row r="971" spans="2:10" ht="15.75" customHeight="1" x14ac:dyDescent="0.3">
      <c r="B971" s="7"/>
      <c r="D971" s="7"/>
      <c r="G971" s="3"/>
      <c r="H971" s="10"/>
      <c r="I971" s="10"/>
      <c r="J971" s="10"/>
    </row>
    <row r="972" spans="2:10" ht="15.75" customHeight="1" x14ac:dyDescent="0.3">
      <c r="B972" s="7"/>
      <c r="D972" s="7"/>
      <c r="G972" s="3"/>
      <c r="H972" s="10"/>
      <c r="I972" s="10"/>
      <c r="J972" s="10"/>
    </row>
    <row r="973" spans="2:10" ht="15.75" customHeight="1" x14ac:dyDescent="0.3">
      <c r="B973" s="7"/>
      <c r="D973" s="7"/>
      <c r="G973" s="3"/>
      <c r="H973" s="10"/>
      <c r="I973" s="10"/>
      <c r="J973" s="10"/>
    </row>
    <row r="974" spans="2:10" ht="15.75" customHeight="1" x14ac:dyDescent="0.3">
      <c r="B974" s="7"/>
      <c r="D974" s="7"/>
      <c r="G974" s="3"/>
      <c r="H974" s="10"/>
      <c r="I974" s="10"/>
      <c r="J974" s="10"/>
    </row>
    <row r="975" spans="2:10" ht="15.75" customHeight="1" x14ac:dyDescent="0.3">
      <c r="B975" s="7"/>
      <c r="D975" s="7"/>
      <c r="G975" s="3"/>
      <c r="H975" s="10"/>
      <c r="I975" s="10"/>
      <c r="J975" s="10"/>
    </row>
    <row r="976" spans="2:10" ht="15.75" customHeight="1" x14ac:dyDescent="0.3">
      <c r="B976" s="7"/>
      <c r="D976" s="7"/>
      <c r="G976" s="3"/>
      <c r="H976" s="10"/>
      <c r="I976" s="10"/>
      <c r="J976" s="10"/>
    </row>
    <row r="977" spans="2:10" ht="15.75" customHeight="1" x14ac:dyDescent="0.3">
      <c r="B977" s="7"/>
      <c r="D977" s="7"/>
      <c r="G977" s="3"/>
      <c r="H977" s="10"/>
      <c r="I977" s="10"/>
      <c r="J977" s="10"/>
    </row>
    <row r="978" spans="2:10" ht="15.75" customHeight="1" x14ac:dyDescent="0.3">
      <c r="B978" s="7"/>
      <c r="D978" s="7"/>
      <c r="G978" s="3"/>
      <c r="H978" s="10"/>
      <c r="I978" s="10"/>
      <c r="J978" s="10"/>
    </row>
    <row r="979" spans="2:10" ht="15.75" customHeight="1" x14ac:dyDescent="0.3">
      <c r="B979" s="7"/>
      <c r="D979" s="7"/>
      <c r="G979" s="3"/>
      <c r="H979" s="10"/>
      <c r="I979" s="10"/>
      <c r="J979" s="10"/>
    </row>
    <row r="980" spans="2:10" ht="15.75" customHeight="1" x14ac:dyDescent="0.3">
      <c r="B980" s="7"/>
      <c r="D980" s="7"/>
      <c r="G980" s="3"/>
      <c r="H980" s="10"/>
      <c r="I980" s="10"/>
      <c r="J980" s="10"/>
    </row>
    <row r="981" spans="2:10" ht="15.75" customHeight="1" x14ac:dyDescent="0.3">
      <c r="B981" s="7"/>
      <c r="D981" s="7"/>
      <c r="G981" s="3"/>
      <c r="H981" s="10"/>
      <c r="I981" s="10"/>
      <c r="J981" s="10"/>
    </row>
    <row r="982" spans="2:10" ht="15.75" customHeight="1" x14ac:dyDescent="0.3">
      <c r="B982" s="7"/>
      <c r="D982" s="7"/>
      <c r="G982" s="3"/>
      <c r="H982" s="10"/>
      <c r="I982" s="10"/>
      <c r="J982" s="10"/>
    </row>
    <row r="983" spans="2:10" ht="15.75" customHeight="1" x14ac:dyDescent="0.3">
      <c r="B983" s="7"/>
      <c r="D983" s="7"/>
      <c r="G983" s="3"/>
      <c r="H983" s="10"/>
      <c r="I983" s="10"/>
      <c r="J983" s="10"/>
    </row>
    <row r="984" spans="2:10" ht="15.75" customHeight="1" x14ac:dyDescent="0.3">
      <c r="B984" s="7"/>
      <c r="D984" s="7"/>
      <c r="G984" s="3"/>
      <c r="H984" s="10"/>
      <c r="I984" s="10"/>
      <c r="J984" s="10"/>
    </row>
    <row r="985" spans="2:10" ht="15.75" customHeight="1" x14ac:dyDescent="0.3">
      <c r="B985" s="7"/>
      <c r="D985" s="7"/>
      <c r="G985" s="3"/>
      <c r="H985" s="10"/>
      <c r="I985" s="10"/>
      <c r="J985" s="10"/>
    </row>
    <row r="986" spans="2:10" ht="15.75" customHeight="1" x14ac:dyDescent="0.3">
      <c r="B986" s="7"/>
      <c r="D986" s="7"/>
      <c r="G986" s="3"/>
      <c r="H986" s="10"/>
      <c r="I986" s="10"/>
      <c r="J986" s="10"/>
    </row>
    <row r="987" spans="2:10" ht="15.75" customHeight="1" x14ac:dyDescent="0.3">
      <c r="B987" s="7"/>
      <c r="D987" s="7"/>
      <c r="G987" s="3"/>
      <c r="H987" s="10"/>
      <c r="I987" s="10"/>
      <c r="J987" s="10"/>
    </row>
    <row r="988" spans="2:10" ht="15.75" customHeight="1" x14ac:dyDescent="0.3">
      <c r="B988" s="7"/>
      <c r="D988" s="7"/>
      <c r="G988" s="3"/>
      <c r="H988" s="10"/>
      <c r="I988" s="10"/>
      <c r="J988" s="10"/>
    </row>
    <row r="989" spans="2:10" ht="15.75" customHeight="1" x14ac:dyDescent="0.3">
      <c r="B989" s="7"/>
      <c r="D989" s="7"/>
      <c r="G989" s="3"/>
      <c r="H989" s="10"/>
      <c r="I989" s="10"/>
      <c r="J989" s="10"/>
    </row>
    <row r="990" spans="2:10" ht="15.75" customHeight="1" x14ac:dyDescent="0.3">
      <c r="B990" s="7"/>
      <c r="D990" s="7"/>
      <c r="G990" s="3"/>
      <c r="H990" s="10"/>
      <c r="I990" s="10"/>
      <c r="J990" s="10"/>
    </row>
    <row r="991" spans="2:10" ht="15.75" customHeight="1" x14ac:dyDescent="0.3">
      <c r="B991" s="7"/>
      <c r="D991" s="7"/>
      <c r="G991" s="3"/>
      <c r="H991" s="10"/>
      <c r="I991" s="10"/>
      <c r="J991" s="10"/>
    </row>
    <row r="992" spans="2:10" ht="15.75" customHeight="1" x14ac:dyDescent="0.3">
      <c r="B992" s="7"/>
      <c r="D992" s="7"/>
      <c r="G992" s="3"/>
      <c r="H992" s="10"/>
      <c r="I992" s="10"/>
      <c r="J992" s="10"/>
    </row>
    <row r="993" spans="2:10" ht="15.75" customHeight="1" x14ac:dyDescent="0.3">
      <c r="B993" s="7"/>
      <c r="D993" s="7"/>
      <c r="G993" s="3"/>
      <c r="H993" s="10"/>
      <c r="I993" s="10"/>
      <c r="J993" s="10"/>
    </row>
    <row r="994" spans="2:10" ht="15.75" customHeight="1" x14ac:dyDescent="0.3">
      <c r="B994" s="7"/>
      <c r="D994" s="7"/>
      <c r="G994" s="3"/>
      <c r="H994" s="10"/>
      <c r="I994" s="10"/>
      <c r="J994" s="10"/>
    </row>
    <row r="995" spans="2:10" ht="15.75" customHeight="1" x14ac:dyDescent="0.3">
      <c r="B995" s="7"/>
      <c r="D995" s="7"/>
      <c r="G995" s="3"/>
      <c r="H995" s="10"/>
      <c r="I995" s="10"/>
      <c r="J995" s="10"/>
    </row>
    <row r="996" spans="2:10" ht="15.75" customHeight="1" x14ac:dyDescent="0.3">
      <c r="B996" s="7"/>
      <c r="D996" s="7"/>
      <c r="G996" s="3"/>
      <c r="H996" s="10"/>
      <c r="I996" s="10"/>
      <c r="J996" s="10"/>
    </row>
    <row r="997" spans="2:10" ht="15.75" customHeight="1" x14ac:dyDescent="0.3">
      <c r="B997" s="7"/>
      <c r="D997" s="7"/>
      <c r="G997" s="3"/>
      <c r="H997" s="10"/>
      <c r="I997" s="10"/>
      <c r="J997" s="10"/>
    </row>
    <row r="998" spans="2:10" ht="15.75" customHeight="1" x14ac:dyDescent="0.3">
      <c r="B998" s="7"/>
      <c r="D998" s="7"/>
      <c r="G998" s="3"/>
      <c r="H998" s="10"/>
      <c r="I998" s="10"/>
      <c r="J998" s="10"/>
    </row>
    <row r="999" spans="2:10" ht="15.75" customHeight="1" x14ac:dyDescent="0.3">
      <c r="B999" s="7"/>
      <c r="D999" s="7"/>
      <c r="G999" s="3"/>
      <c r="H999" s="10"/>
      <c r="I999" s="10"/>
      <c r="J999" s="10"/>
    </row>
    <row r="1000" spans="2:10" ht="15.75" customHeight="1" x14ac:dyDescent="0.3">
      <c r="B1000" s="7"/>
      <c r="D1000" s="7"/>
      <c r="G1000" s="3"/>
      <c r="H1000" s="10"/>
      <c r="I1000" s="10"/>
      <c r="J1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F0D8-DD1F-439F-8D01-2310D29918B7}">
  <dimension ref="A1:A11"/>
  <sheetViews>
    <sheetView workbookViewId="0">
      <selection activeCell="D24" sqref="D24"/>
    </sheetView>
  </sheetViews>
  <sheetFormatPr defaultRowHeight="14.4" x14ac:dyDescent="0.3"/>
  <sheetData>
    <row r="1" spans="1:1" x14ac:dyDescent="0.3">
      <c r="A1" s="4" t="s">
        <v>379</v>
      </c>
    </row>
    <row r="2" spans="1:1" ht="18" x14ac:dyDescent="0.3">
      <c r="A2" s="5" t="s">
        <v>380</v>
      </c>
    </row>
    <row r="3" spans="1:1" x14ac:dyDescent="0.3">
      <c r="A3" s="6">
        <v>255.90299999999999</v>
      </c>
    </row>
    <row r="4" spans="1:1" x14ac:dyDescent="0.3">
      <c r="A4" s="8" t="s">
        <v>381</v>
      </c>
    </row>
    <row r="5" spans="1:1" x14ac:dyDescent="0.3">
      <c r="A5" s="8" t="s">
        <v>382</v>
      </c>
    </row>
    <row r="6" spans="1:1" x14ac:dyDescent="0.3">
      <c r="A6" s="9" t="s">
        <v>388</v>
      </c>
    </row>
    <row r="7" spans="1:1" x14ac:dyDescent="0.3">
      <c r="A7" s="9" t="s">
        <v>385</v>
      </c>
    </row>
    <row r="8" spans="1:1" x14ac:dyDescent="0.3">
      <c r="A8" s="9" t="s">
        <v>386</v>
      </c>
    </row>
    <row r="9" spans="1:1" x14ac:dyDescent="0.3">
      <c r="A9" s="9" t="s">
        <v>387</v>
      </c>
    </row>
    <row r="10" spans="1:1" x14ac:dyDescent="0.3">
      <c r="A10" s="8" t="s">
        <v>383</v>
      </c>
    </row>
    <row r="11" spans="1:1" x14ac:dyDescent="0.3">
      <c r="A11" s="8" t="s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6C48-A410-4A01-A861-A73348E2EE0E}">
  <dimension ref="A3:G11"/>
  <sheetViews>
    <sheetView zoomScale="103" workbookViewId="0">
      <selection activeCell="I8" sqref="I8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5" width="12.88671875" bestFit="1" customWidth="1"/>
    <col min="6" max="6" width="7" bestFit="1" customWidth="1"/>
    <col min="7" max="7" width="12.88671875" bestFit="1" customWidth="1"/>
    <col min="8" max="8" width="7" bestFit="1" customWidth="1"/>
    <col min="9" max="9" width="12" bestFit="1" customWidth="1"/>
  </cols>
  <sheetData>
    <row r="3" spans="1:7" x14ac:dyDescent="0.3">
      <c r="A3" s="12" t="s">
        <v>397</v>
      </c>
      <c r="B3" s="12" t="s">
        <v>398</v>
      </c>
    </row>
    <row r="4" spans="1:7" x14ac:dyDescent="0.3">
      <c r="A4" s="12" t="s">
        <v>393</v>
      </c>
      <c r="B4" t="s">
        <v>11</v>
      </c>
      <c r="C4" t="s">
        <v>22</v>
      </c>
      <c r="D4" t="s">
        <v>48</v>
      </c>
      <c r="E4" t="s">
        <v>17</v>
      </c>
      <c r="F4" t="s">
        <v>394</v>
      </c>
      <c r="G4" t="s">
        <v>395</v>
      </c>
    </row>
    <row r="5" spans="1:7" x14ac:dyDescent="0.3">
      <c r="A5" s="13" t="s">
        <v>13</v>
      </c>
      <c r="B5" s="14">
        <v>1110756.69</v>
      </c>
      <c r="C5" s="14">
        <v>1276139.23</v>
      </c>
      <c r="D5" s="14">
        <v>1199637.675</v>
      </c>
      <c r="E5" s="14">
        <v>43438976.908315495</v>
      </c>
      <c r="F5" s="14"/>
      <c r="G5" s="14">
        <v>47025510.503315493</v>
      </c>
    </row>
    <row r="6" spans="1:7" x14ac:dyDescent="0.3">
      <c r="A6" s="13" t="s">
        <v>23</v>
      </c>
      <c r="B6" s="14">
        <v>1587286.1938199999</v>
      </c>
      <c r="C6" s="14">
        <v>629674.49069000001</v>
      </c>
      <c r="D6" s="14">
        <v>496502.89000000007</v>
      </c>
      <c r="E6" s="14">
        <v>1133988.9049999998</v>
      </c>
      <c r="F6" s="14"/>
      <c r="G6" s="14">
        <v>3847452.47951</v>
      </c>
    </row>
    <row r="7" spans="1:7" x14ac:dyDescent="0.3">
      <c r="A7" s="13" t="s">
        <v>42</v>
      </c>
      <c r="B7" s="14">
        <v>946379.13583000016</v>
      </c>
      <c r="C7" s="14">
        <v>950484.27000000025</v>
      </c>
      <c r="D7" s="14">
        <v>1068292.4437499999</v>
      </c>
      <c r="E7" s="14">
        <v>1557975.6650000003</v>
      </c>
      <c r="F7" s="14"/>
      <c r="G7" s="14">
        <v>4523131.5145800002</v>
      </c>
    </row>
    <row r="8" spans="1:7" x14ac:dyDescent="0.3">
      <c r="A8" s="13" t="s">
        <v>19</v>
      </c>
      <c r="B8" s="14">
        <v>886856.07204999996</v>
      </c>
      <c r="C8" s="14">
        <v>1658446.43252</v>
      </c>
      <c r="D8" s="14">
        <v>695848.58110999991</v>
      </c>
      <c r="E8" s="14">
        <v>823912.52999999991</v>
      </c>
      <c r="F8" s="14"/>
      <c r="G8" s="14">
        <v>4065063.6156799993</v>
      </c>
    </row>
    <row r="9" spans="1:7" x14ac:dyDescent="0.3">
      <c r="A9" s="13" t="s">
        <v>27</v>
      </c>
      <c r="B9" s="14">
        <v>1764250.2824300004</v>
      </c>
      <c r="C9" s="14">
        <v>731274.15</v>
      </c>
      <c r="D9" s="14">
        <v>832820.25000000012</v>
      </c>
      <c r="E9" s="14">
        <v>1131273.29938</v>
      </c>
      <c r="F9" s="14"/>
      <c r="G9" s="14">
        <v>4459617.9818100007</v>
      </c>
    </row>
    <row r="10" spans="1:7" x14ac:dyDescent="0.3">
      <c r="A10" s="13" t="s">
        <v>394</v>
      </c>
      <c r="B10" s="14"/>
      <c r="C10" s="14"/>
      <c r="D10" s="14"/>
      <c r="E10" s="14"/>
      <c r="F10" s="14"/>
      <c r="G10" s="14"/>
    </row>
    <row r="11" spans="1:7" x14ac:dyDescent="0.3">
      <c r="A11" s="13" t="s">
        <v>395</v>
      </c>
      <c r="B11" s="14">
        <v>6295528.3741300004</v>
      </c>
      <c r="C11" s="14">
        <v>5246018.573210001</v>
      </c>
      <c r="D11" s="14">
        <v>4293101.8398599997</v>
      </c>
      <c r="E11" s="14">
        <v>48086127.307695493</v>
      </c>
      <c r="F11" s="14"/>
      <c r="G11" s="14">
        <v>63920776.094895504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AA1F-178A-4916-969F-A5D752A36CBC}">
  <dimension ref="A3:B9"/>
  <sheetViews>
    <sheetView workbookViewId="0">
      <selection activeCell="A3" sqref="A3:B9"/>
    </sheetView>
  </sheetViews>
  <sheetFormatPr defaultRowHeight="14.4" x14ac:dyDescent="0.3"/>
  <cols>
    <col min="1" max="1" width="10.77734375" bestFit="1" customWidth="1"/>
    <col min="2" max="2" width="15.33203125" bestFit="1" customWidth="1"/>
  </cols>
  <sheetData>
    <row r="3" spans="1:2" x14ac:dyDescent="0.3">
      <c r="A3" s="12" t="s">
        <v>1</v>
      </c>
      <c r="B3" t="s">
        <v>396</v>
      </c>
    </row>
    <row r="4" spans="1:2" x14ac:dyDescent="0.3">
      <c r="A4" s="13" t="s">
        <v>11</v>
      </c>
      <c r="B4" s="14">
        <v>12493.089326483514</v>
      </c>
    </row>
    <row r="5" spans="1:2" x14ac:dyDescent="0.3">
      <c r="A5" s="13" t="s">
        <v>22</v>
      </c>
      <c r="B5" s="14">
        <v>16728.37156333333</v>
      </c>
    </row>
    <row r="6" spans="1:2" x14ac:dyDescent="0.3">
      <c r="A6" s="13" t="s">
        <v>48</v>
      </c>
      <c r="B6" s="14">
        <v>19174.388756666667</v>
      </c>
    </row>
    <row r="7" spans="1:2" x14ac:dyDescent="0.3">
      <c r="A7" s="13" t="s">
        <v>17</v>
      </c>
      <c r="B7" s="14">
        <v>198.83079295894649</v>
      </c>
    </row>
    <row r="8" spans="1:2" x14ac:dyDescent="0.3">
      <c r="A8" s="13" t="s">
        <v>394</v>
      </c>
      <c r="B8" s="14"/>
    </row>
    <row r="9" spans="1:2" x14ac:dyDescent="0.3">
      <c r="A9" s="13" t="s">
        <v>395</v>
      </c>
      <c r="B9" s="14">
        <v>4033.9144305145664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321D-D9FA-471A-963C-CD067827FB47}">
  <dimension ref="A1:P3"/>
  <sheetViews>
    <sheetView showGridLines="0" zoomScale="97" workbookViewId="0">
      <selection activeCell="S7" sqref="S7"/>
    </sheetView>
  </sheetViews>
  <sheetFormatPr defaultRowHeight="14.4" x14ac:dyDescent="0.3"/>
  <sheetData>
    <row r="1" spans="1:16" x14ac:dyDescent="0.3">
      <c r="A1" s="16" t="s">
        <v>403</v>
      </c>
      <c r="B1" s="16"/>
      <c r="C1" s="16"/>
      <c r="D1" s="16"/>
      <c r="E1" s="17" t="s">
        <v>404</v>
      </c>
      <c r="F1" s="17"/>
      <c r="G1" s="17"/>
      <c r="H1" s="17"/>
      <c r="I1" s="16" t="s">
        <v>405</v>
      </c>
      <c r="J1" s="16"/>
      <c r="K1" s="16"/>
      <c r="L1" s="16"/>
      <c r="M1" s="16" t="s">
        <v>406</v>
      </c>
      <c r="N1" s="16"/>
      <c r="O1" s="16"/>
      <c r="P1" s="16"/>
    </row>
    <row r="2" spans="1:16" x14ac:dyDescent="0.3">
      <c r="A2" s="18">
        <v>22459473.100000001</v>
      </c>
      <c r="B2" s="18"/>
      <c r="C2" s="18"/>
      <c r="D2" s="18"/>
      <c r="E2" s="18">
        <v>350</v>
      </c>
      <c r="F2" s="18"/>
      <c r="G2" s="18"/>
      <c r="H2" s="18"/>
      <c r="I2" s="18">
        <v>89566</v>
      </c>
      <c r="J2" s="18"/>
      <c r="K2" s="18"/>
      <c r="L2" s="18"/>
      <c r="M2" s="19">
        <v>255.90299999999999</v>
      </c>
      <c r="N2" s="19"/>
      <c r="O2" s="19"/>
      <c r="P2" s="19"/>
    </row>
    <row r="3" spans="1:16" x14ac:dyDescent="0.3">
      <c r="A3" s="15"/>
      <c r="B3" s="15"/>
      <c r="C3" s="15"/>
      <c r="D3" s="15"/>
    </row>
  </sheetData>
  <mergeCells count="8">
    <mergeCell ref="M1:P1"/>
    <mergeCell ref="M2:P2"/>
    <mergeCell ref="A1:D1"/>
    <mergeCell ref="A2:D2"/>
    <mergeCell ref="E1:H1"/>
    <mergeCell ref="E2:H2"/>
    <mergeCell ref="I1:L1"/>
    <mergeCell ref="I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3C5A-8EC0-4826-87F2-9E2C1121C4BD}">
  <dimension ref="A1:A10"/>
  <sheetViews>
    <sheetView showGridLines="0" tabSelected="1" workbookViewId="0">
      <selection activeCell="A10" sqref="A10"/>
    </sheetView>
  </sheetViews>
  <sheetFormatPr defaultRowHeight="14.4" x14ac:dyDescent="0.3"/>
  <sheetData>
    <row r="1" spans="1:1" ht="18" x14ac:dyDescent="0.3">
      <c r="A1" s="20" t="s">
        <v>407</v>
      </c>
    </row>
    <row r="2" spans="1:1" x14ac:dyDescent="0.3">
      <c r="A2" s="6"/>
    </row>
    <row r="3" spans="1:1" x14ac:dyDescent="0.3">
      <c r="A3" s="6" t="s">
        <v>408</v>
      </c>
    </row>
    <row r="4" spans="1:1" x14ac:dyDescent="0.3">
      <c r="A4" s="6" t="s">
        <v>409</v>
      </c>
    </row>
    <row r="5" spans="1:1" x14ac:dyDescent="0.3">
      <c r="A5" s="6" t="s">
        <v>410</v>
      </c>
    </row>
    <row r="6" spans="1:1" x14ac:dyDescent="0.3">
      <c r="A6" s="6" t="s">
        <v>411</v>
      </c>
    </row>
    <row r="7" spans="1:1" x14ac:dyDescent="0.3">
      <c r="A7" s="6" t="s">
        <v>412</v>
      </c>
    </row>
    <row r="8" spans="1:1" x14ac:dyDescent="0.3">
      <c r="A8" s="6" t="s">
        <v>413</v>
      </c>
    </row>
    <row r="9" spans="1:1" x14ac:dyDescent="0.3">
      <c r="A9" s="6" t="s">
        <v>414</v>
      </c>
    </row>
    <row r="10" spans="1:1" x14ac:dyDescent="0.3">
      <c r="A10" s="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Retail_Dataset</vt:lpstr>
      <vt:lpstr>ques 1</vt:lpstr>
      <vt:lpstr>ques7</vt:lpstr>
      <vt:lpstr>ques 6</vt:lpstr>
      <vt:lpstr>dashboard</vt:lpstr>
      <vt:lpstr>SUMARY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sahu</dc:creator>
  <cp:lastModifiedBy>aditya sahu</cp:lastModifiedBy>
  <dcterms:created xsi:type="dcterms:W3CDTF">2026-07-18T09:44:29Z</dcterms:created>
  <dcterms:modified xsi:type="dcterms:W3CDTF">2026-07-18T13:13:58Z</dcterms:modified>
</cp:coreProperties>
</file>